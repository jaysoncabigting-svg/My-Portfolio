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2300" tabRatio="724" activeTab="4"/>
  </bookViews>
  <sheets>
    <sheet name="payment_dim" sheetId="8" r:id="rId1"/>
    <sheet name="state_dim" sheetId="7" r:id="rId2"/>
    <sheet name="department_dim" sheetId="6" r:id="rId3"/>
    <sheet name="client_dim" sheetId="5" r:id="rId4"/>
    <sheet name="revenue_fact" sheetId="4" r:id="rId5"/>
    <sheet name="Dirty Data" sheetId="2" r:id="rId6"/>
  </sheets>
  <definedNames>
    <definedName name="_xlcn.WorksheetConnection_Sales_revenue.xlsxclient_dim1" hidden="1">client_dim[]</definedName>
    <definedName name="_xlcn.WorksheetConnection_Sales_revenue.xlsxdept_dim1" hidden="1">dept_dim[]</definedName>
    <definedName name="_xlcn.WorksheetConnection_Sales_revenue.xlsxpayment_dim1" hidden="1">payment_dim[]</definedName>
    <definedName name="_xlcn.WorksheetConnection_Sales_revenue.xlsxrevenue_fact1" hidden="1">revenue_fact[]</definedName>
    <definedName name="_xlcn.WorksheetConnection_Sales_revenue.xlsxstate_dim1" hidden="1">state_dim[]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ient_dim" name="client_dim" connection="WorksheetConnection_Sales_revenue.xlsx!client_dim"/>
          <x15:modelTable id="revenue_fact" name="revenue_fact" connection="WorksheetConnection_Sales_revenue.xlsx!revenue_fact"/>
          <x15:modelTable id="dept_dim" name="dept_dim" connection="WorksheetConnection_Sales_revenue.xlsx!dept_dim"/>
          <x15:modelTable id="payment_dim" name="payment_dim" connection="WorksheetConnection_Sales_revenue.xlsx!payment_dim"/>
          <x15:modelTable id="state_dim" name="state_dim" connection="WorksheetConnection_Sales_revenue.xlsx!state_dim"/>
        </x15:modelTables>
        <x15:modelRelationships>
          <x15:modelRelationship fromTable="revenue_fact" fromColumn="Dept_ID" toTable="dept_dim" toColumn="Dept_Id"/>
          <x15:modelRelationship fromTable="revenue_fact" fromColumn="Payment_ID" toTable="payment_dim" toColumn="Payment_Id"/>
          <x15:modelRelationship fromTable="revenue_fact" fromColumn="State_ID" toTable="state_dim" toColumn="State_Id"/>
          <x15:modelRelationship fromTable="revenue_fact" fromColumn="Client_ID" toTable="client_dim" toColumn="Clien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ales_revenue.xlsx!client_dim" type="102" refreshedVersion="6" minRefreshableVersion="5">
    <extLst>
      <ext xmlns:x15="http://schemas.microsoft.com/office/spreadsheetml/2010/11/main" uri="{DE250136-89BD-433C-8126-D09CA5730AF9}">
        <x15:connection id="client_dim">
          <x15:rangePr sourceName="_xlcn.WorksheetConnection_Sales_revenue.xlsxclient_dim1"/>
        </x15:connection>
      </ext>
    </extLst>
  </connection>
  <connection id="3" name="WorksheetConnection_Sales_revenue.xlsx!dept_dim" type="102" refreshedVersion="6" minRefreshableVersion="5">
    <extLst>
      <ext xmlns:x15="http://schemas.microsoft.com/office/spreadsheetml/2010/11/main" uri="{DE250136-89BD-433C-8126-D09CA5730AF9}">
        <x15:connection id="dept_dim">
          <x15:rangePr sourceName="_xlcn.WorksheetConnection_Sales_revenue.xlsxdept_dim1"/>
        </x15:connection>
      </ext>
    </extLst>
  </connection>
  <connection id="4" name="WorksheetConnection_Sales_revenue.xlsx!payment_dim" type="102" refreshedVersion="6" minRefreshableVersion="5">
    <extLst>
      <ext xmlns:x15="http://schemas.microsoft.com/office/spreadsheetml/2010/11/main" uri="{DE250136-89BD-433C-8126-D09CA5730AF9}">
        <x15:connection id="payment_dim">
          <x15:rangePr sourceName="_xlcn.WorksheetConnection_Sales_revenue.xlsxpayment_dim1"/>
        </x15:connection>
      </ext>
    </extLst>
  </connection>
  <connection id="5" name="WorksheetConnection_Sales_revenue.xlsx!revenue_fact" type="102" refreshedVersion="6" minRefreshableVersion="5">
    <extLst>
      <ext xmlns:x15="http://schemas.microsoft.com/office/spreadsheetml/2010/11/main" uri="{DE250136-89BD-433C-8126-D09CA5730AF9}">
        <x15:connection id="revenue_fact">
          <x15:rangePr sourceName="_xlcn.WorksheetConnection_Sales_revenue.xlsxrevenue_fact1"/>
        </x15:connection>
      </ext>
    </extLst>
  </connection>
  <connection id="6" name="WorksheetConnection_Sales_revenue.xlsx!state_dim" type="102" refreshedVersion="6" minRefreshableVersion="5">
    <extLst>
      <ext xmlns:x15="http://schemas.microsoft.com/office/spreadsheetml/2010/11/main" uri="{DE250136-89BD-433C-8126-D09CA5730AF9}">
        <x15:connection id="state_dim">
          <x15:rangePr sourceName="_xlcn.WorksheetConnection_Sales_revenue.xlsxstate_dim1"/>
        </x15:connection>
      </ext>
    </extLst>
  </connection>
</connections>
</file>

<file path=xl/sharedStrings.xml><?xml version="1.0" encoding="utf-8"?>
<sst xmlns="http://schemas.openxmlformats.org/spreadsheetml/2006/main" count="432" uniqueCount="249">
  <si>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</si>
  <si>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</si>
  <si>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</si>
  <si>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</si>
  <si>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</si>
  <si>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</si>
  <si>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</si>
  <si>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</si>
  <si>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</si>
  <si>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</si>
  <si>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</si>
  <si>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</si>
  <si>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</si>
  <si>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</si>
  <si>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</si>
  <si>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</si>
  <si>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</si>
  <si>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</si>
  <si>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</si>
  <si>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</si>
  <si>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</si>
  <si>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</si>
  <si>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</si>
  <si>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</si>
  <si>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</si>
  <si>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</si>
  <si>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</si>
  <si>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</si>
  <si>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</si>
  <si>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</si>
  <si>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</si>
  <si>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</si>
  <si>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</si>
  <si>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</si>
  <si>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</si>
  <si>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</si>
  <si>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</si>
  <si>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</si>
  <si>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</si>
  <si>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</si>
  <si>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</si>
  <si>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</si>
  <si>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</si>
  <si>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</si>
  <si>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</si>
  <si>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</si>
  <si>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</si>
  <si>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</si>
  <si>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</si>
  <si>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</si>
  <si>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</si>
  <si>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</si>
  <si>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</si>
  <si>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</si>
  <si>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</si>
  <si>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</si>
  <si>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</si>
  <si>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</si>
  <si>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</si>
  <si>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</si>
  <si>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</si>
  <si>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</si>
  <si>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</si>
  <si>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</si>
  <si>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</si>
  <si>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</si>
  <si>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</si>
  <si>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</si>
  <si>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</si>
  <si>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</si>
  <si>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</si>
  <si>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</si>
  <si>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</si>
  <si>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</si>
  <si>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</si>
  <si>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</si>
  <si>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</si>
  <si>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</si>
  <si>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</si>
  <si>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</si>
  <si>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</si>
  <si>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</si>
  <si>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</si>
  <si>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</si>
  <si>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</si>
  <si>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</si>
  <si>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</si>
  <si>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</si>
  <si>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</si>
  <si>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</si>
  <si>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</si>
  <si>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</si>
  <si>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</si>
  <si>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</si>
  <si>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</si>
  <si>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</si>
  <si>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</si>
  <si>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</si>
  <si>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</si>
  <si>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</si>
  <si>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First Name</t>
  </si>
  <si>
    <t>Last Name</t>
  </si>
  <si>
    <t>Bill</t>
  </si>
  <si>
    <t>Smith</t>
  </si>
  <si>
    <t>Ken</t>
  </si>
  <si>
    <t>Singh</t>
  </si>
  <si>
    <t>Harley</t>
  </si>
  <si>
    <t>Fritz</t>
  </si>
  <si>
    <t>Nyla</t>
  </si>
  <si>
    <t>Novak</t>
  </si>
  <si>
    <t>David</t>
  </si>
  <si>
    <t>Rasmussen</t>
  </si>
  <si>
    <t>Ivan</t>
  </si>
  <si>
    <t>Hiney</t>
  </si>
  <si>
    <t>Jonha</t>
  </si>
  <si>
    <t>Ma</t>
  </si>
  <si>
    <t>Jordan</t>
  </si>
  <si>
    <t>Boone</t>
  </si>
  <si>
    <t>Kylee</t>
  </si>
  <si>
    <t>Townsend</t>
  </si>
  <si>
    <t>Nora</t>
  </si>
  <si>
    <t>Rollins</t>
  </si>
  <si>
    <t>Brendan</t>
  </si>
  <si>
    <t>Wallace</t>
  </si>
  <si>
    <t>Conor</t>
  </si>
  <si>
    <t>Wise</t>
  </si>
  <si>
    <t>Steven</t>
  </si>
  <si>
    <t>Michael</t>
  </si>
  <si>
    <t>Lucia</t>
  </si>
  <si>
    <t>Mckay</t>
  </si>
  <si>
    <t>Jose</t>
  </si>
  <si>
    <t>Roach</t>
  </si>
  <si>
    <t>Franklin</t>
  </si>
  <si>
    <t>Wrigt</t>
  </si>
  <si>
    <t>Alia</t>
  </si>
  <si>
    <t>Thornton</t>
  </si>
  <si>
    <t>Denzel</t>
  </si>
  <si>
    <t>Flores</t>
  </si>
  <si>
    <t>Bruno</t>
  </si>
  <si>
    <t>Cordova</t>
  </si>
  <si>
    <t>Jaylynn</t>
  </si>
  <si>
    <t>Napp</t>
  </si>
  <si>
    <t>Bruce</t>
  </si>
  <si>
    <t>Rich</t>
  </si>
  <si>
    <t>Arturo</t>
  </si>
  <si>
    <t>Moore</t>
  </si>
  <si>
    <t>Bryce</t>
  </si>
  <si>
    <t>Carpenter</t>
  </si>
  <si>
    <t>Jaidyn</t>
  </si>
  <si>
    <t>Andersen</t>
  </si>
  <si>
    <t>Mark</t>
  </si>
  <si>
    <t>Walm</t>
  </si>
  <si>
    <t>Harry</t>
  </si>
  <si>
    <t>Lee</t>
  </si>
  <si>
    <t>Josh</t>
  </si>
  <si>
    <t>Johnson</t>
  </si>
  <si>
    <t>Mik</t>
  </si>
  <si>
    <t>Naam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</si>
  <si>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</si>
  <si>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</si>
  <si>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</si>
  <si>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</si>
  <si>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</si>
  <si>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</si>
  <si>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</si>
  <si>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</si>
  <si>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State</t>
  </si>
  <si>
    <t>Other</t>
  </si>
  <si>
    <t>Client_Id</t>
  </si>
  <si>
    <t>C-100</t>
  </si>
  <si>
    <t>C-101</t>
  </si>
  <si>
    <t>S-101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</si>
  <si>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</si>
  <si>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</si>
  <si>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</si>
  <si>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</si>
  <si>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</si>
  <si>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</si>
  <si>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</si>
  <si>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</si>
  <si>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</si>
  <si>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</si>
  <si>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</si>
  <si>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</si>
  <si>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</si>
  <si>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</si>
  <si>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</si>
  <si>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</si>
  <si>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</si>
  <si>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</si>
  <si>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</si>
  <si>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</si>
  <si>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</si>
  <si>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</si>
  <si>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</si>
  <si>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</si>
  <si>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</si>
  <si>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</si>
  <si>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D-101</t>
  </si>
  <si>
    <t>D-102</t>
  </si>
  <si>
    <t>D-103</t>
  </si>
  <si>
    <t>Dept_Id</t>
  </si>
  <si>
    <t>State_Id</t>
  </si>
  <si>
    <t>S-102</t>
  </si>
  <si>
    <t>S-103</t>
  </si>
  <si>
    <t>S-104</t>
  </si>
  <si>
    <t>Payment_Id</t>
  </si>
  <si>
    <t>P-101</t>
  </si>
  <si>
    <t>P-102</t>
  </si>
  <si>
    <t>P-103</t>
  </si>
  <si>
    <t>P-104</t>
  </si>
  <si>
    <t>P-105</t>
  </si>
  <si>
    <t>D-104</t>
  </si>
  <si>
    <t>tr-101</t>
  </si>
  <si>
    <t>tr-102</t>
  </si>
  <si>
    <t>tr-109</t>
  </si>
  <si>
    <t>tr-105</t>
  </si>
  <si>
    <t>tr-104</t>
  </si>
  <si>
    <t>tr-103</t>
  </si>
  <si>
    <t>tr-106</t>
  </si>
  <si>
    <t>tr-107</t>
  </si>
  <si>
    <t>tr-108</t>
  </si>
  <si>
    <t>tr-110</t>
  </si>
  <si>
    <t>tr-111</t>
  </si>
  <si>
    <t>tr-112</t>
  </si>
  <si>
    <t>tr-113</t>
  </si>
  <si>
    <t>tr-114</t>
  </si>
  <si>
    <t>tr-115</t>
  </si>
  <si>
    <t>tr-116</t>
  </si>
  <si>
    <t>tr-117</t>
  </si>
  <si>
    <t>tr-118</t>
  </si>
  <si>
    <t>tr-119</t>
  </si>
  <si>
    <t>tr-120</t>
  </si>
  <si>
    <t>tr-121</t>
  </si>
  <si>
    <t>tr-122</t>
  </si>
  <si>
    <t>tr-123</t>
  </si>
  <si>
    <t>tr-124</t>
  </si>
  <si>
    <t>tr-125</t>
  </si>
  <si>
    <t>tr-126</t>
  </si>
  <si>
    <t>tr-127</t>
  </si>
  <si>
    <t>tr-128</t>
  </si>
  <si>
    <t>Client_ID</t>
  </si>
  <si>
    <t>Dept_ID</t>
  </si>
  <si>
    <t>State_ID</t>
  </si>
  <si>
    <t>Payment_ID</t>
  </si>
  <si>
    <t>Trans_ID</t>
  </si>
  <si>
    <t>`</t>
  </si>
  <si>
    <t>tr-129</t>
  </si>
  <si>
    <t>D-105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</si>
</sst>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[Red]\(&quot;$&quot;#,##0\)"/>
    <numFmt numFmtId="165" formatCode="0.0%"/>
    <numFmt numFmtId="166" formatCode="m/d/yyyy;@"/>
    <numFmt numFmtId="167" formatCode="[$$-409]#,##0.00;[Red][$$-409]#,##0.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2" fillId="2" borderId="0" xfId="0" applyFont="1" applyFill="1" applyAlignment="1">
      <alignment horizontal="center"/>
    </xf>
    <xf numFmtId="166" fontId="0" fillId="0" borderId="0" xfId="0" applyNumberFormat="1"/>
    <xf numFmtId="164" fontId="0" fillId="0" borderId="0" xfId="0" applyNumberFormat="1"/>
    <xf numFmtId="9" fontId="0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2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67" formatCode="[$$-409]#,##0.00;[Red][$$-409]#,##0.00"/>
      <alignment horizontal="center" vertical="bottom" textRotation="0" wrapText="0" indent="0" justifyLastLine="0" shrinkToFit="0" readingOrder="0"/>
    </dxf>
    <dxf>
      <numFmt numFmtId="167" formatCode="[$$-409]#,##0.00;[Red][$$-409]#,##0.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m/d/yy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tables/table1.xml><?xml version="1.0" encoding="utf-8"?>
<table xmlns="http://schemas.openxmlformats.org/spreadsheetml/2006/main" id="5" name="payment_dim" displayName="payment_dim" ref="B2:C7" totalsRowShown="0" headerRowDxfId="3">
  <autoFilter ref="B2:C7"/>
  <tableColumns count="2">
    <tableColumn id="1" name="Payment"/>
    <tableColumn id="2" name="Payment_Id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state_dim" displayName="state_dim" ref="B2:C6" totalsRowShown="0" headerRowDxfId="5">
  <autoFilter ref="B2:C6"/>
  <tableColumns count="2">
    <tableColumn id="1" name="State"/>
    <tableColumn id="2" name="State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pt_dim" displayName="dept_dim" ref="B2:C6" totalsRowShown="0" headerRowDxfId="6">
  <autoFilter ref="B2:C6"/>
  <tableColumns count="2">
    <tableColumn id="1" name="Department"/>
    <tableColumn id="2" name="Dept_Id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client_dim" displayName="client_dim" ref="B2:E30" totalsRowShown="0" headerRowDxfId="8">
  <autoFilter ref="B2:E30"/>
  <tableColumns count="4">
    <tableColumn id="1" name="Client"/>
    <tableColumn id="2" name="Client_Id"/>
    <tableColumn id="3" name="First Name"/>
    <tableColumn id="4" name="Last 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revenue_fact" displayName="revenue_fact" ref="B2:J31" totalsRowShown="0" headerRowDxfId="9">
  <autoFilter ref="B2:J31"/>
  <tableColumns count="9">
    <tableColumn id="1" name="Trans_ID"/>
    <tableColumn id="2" name="Date" dataDxfId="17"/>
    <tableColumn id="3" name="Client_ID" dataDxfId="16"/>
    <tableColumn id="4" name="Dept_ID" dataDxfId="15"/>
    <tableColumn id="5" name="State_ID" dataDxfId="14"/>
    <tableColumn id="6" name="Payment_ID" dataDxfId="13"/>
    <tableColumn id="7" name="Revenue" dataDxfId="12"/>
    <tableColumn id="8" name="Profit" dataDxfId="11"/>
    <tableColumn id="9" name="Profit Margin" dataDxfId="10" dataCellStyle="Percent">
      <calculatedColumnFormula>IFERROR(I3/H3,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2"/>
  <sheetViews>
    <sheetView zoomScale="115" zoomScaleNormal="115" workbookViewId="0">
      <selection activeCell="B2" sqref="B2:C7"/>
    </sheetView>
  </sheetViews>
  <sheetFormatPr defaultColWidth="11" defaultRowHeight="15.75" x14ac:dyDescent="0.25"/>
  <cols>
    <col min="1" max="1" width="3.5" customWidth="1"/>
    <col min="2" max="2" width="14.75" customWidth="1"/>
    <col min="3" max="3" width="17.625" customWidth="1"/>
    <col min="4" max="4" width="15" bestFit="1" customWidth="1"/>
    <col min="5" max="5" width="14.625" bestFit="1" customWidth="1"/>
    <col min="6" max="6" width="16.875" bestFit="1" customWidth="1"/>
    <col min="7" max="7" width="8.75" bestFit="1" customWidth="1"/>
    <col min="8" max="8" width="16.875" bestFit="1" customWidth="1"/>
    <col min="9" max="9" width="16.875" customWidth="1"/>
    <col min="10" max="10" width="12.5" bestFit="1" customWidth="1"/>
    <col min="11" max="11" width="12.25" bestFit="1" customWidth="1"/>
    <col min="12" max="12" width="8.375" bestFit="1" customWidth="1"/>
    <col min="13" max="13" width="18.25" bestFit="1" customWidth="1"/>
  </cols>
  <sheetData>
    <row r="2" spans="2:3" ht="23.25" x14ac:dyDescent="0.35">
      <c r="B2" s="4" t="s">
        <v>47</v>
      </c>
      <c r="C2" s="4" t="s">
        <v>206</v>
      </c>
    </row>
    <row r="3" spans="2:3" x14ac:dyDescent="0.25">
      <c r="B3" t="s">
        <v>48</v>
      </c>
      <c r="C3" s="9" t="s">
        <v>207</v>
      </c>
    </row>
    <row r="4" spans="2:3" x14ac:dyDescent="0.25">
      <c r="B4" t="s">
        <v>50</v>
      </c>
      <c r="C4" s="9" t="s">
        <v>208</v>
      </c>
    </row>
    <row r="5" spans="2:3" x14ac:dyDescent="0.25">
      <c r="B5" t="s">
        <v>167</v>
      </c>
      <c r="C5" s="9" t="s">
        <v>209</v>
      </c>
    </row>
    <row r="6" spans="2:3" x14ac:dyDescent="0.25">
      <c r="B6" t="s">
        <v>49</v>
      </c>
      <c r="C6" s="9" t="s">
        <v>210</v>
      </c>
    </row>
    <row r="7" spans="2:3" x14ac:dyDescent="0.25">
      <c r="B7" t="s">
        <v>51</v>
      </c>
      <c r="C7" s="9" t="s">
        <v>211</v>
      </c>
    </row>
    <row r="34" spans="9:11" x14ac:dyDescent="0.25">
      <c r="I34" s="6"/>
      <c r="K34" s="1"/>
    </row>
    <row r="35" spans="9:11" x14ac:dyDescent="0.25">
      <c r="K35" s="1"/>
    </row>
    <row r="36" spans="9:11" x14ac:dyDescent="0.25">
      <c r="K36" s="1"/>
    </row>
    <row r="37" spans="9:11" x14ac:dyDescent="0.25">
      <c r="K37" s="1"/>
    </row>
    <row r="38" spans="9:11" x14ac:dyDescent="0.25">
      <c r="K38" s="1"/>
    </row>
    <row r="39" spans="9:11" x14ac:dyDescent="0.25">
      <c r="K39" s="1"/>
    </row>
    <row r="40" spans="9:11" x14ac:dyDescent="0.25">
      <c r="K40" s="1"/>
    </row>
    <row r="41" spans="9:11" x14ac:dyDescent="0.25">
      <c r="K41" s="1"/>
    </row>
    <row r="42" spans="9:11" x14ac:dyDescent="0.25">
      <c r="K42" s="1"/>
    </row>
  </sheetData>
  <sortState ref="B3:B30">
    <sortCondition ref="B3"/>
  </sortState>
  <conditionalFormatting sqref="B3:B7">
    <cfRule type="duplicateValues" dxfId="2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2"/>
  <sheetViews>
    <sheetView zoomScale="115" zoomScaleNormal="115" workbookViewId="0">
      <selection activeCell="D5" sqref="D5"/>
    </sheetView>
  </sheetViews>
  <sheetFormatPr defaultColWidth="11" defaultRowHeight="15.75" x14ac:dyDescent="0.25"/>
  <cols>
    <col min="2" max="2" width="10.375" customWidth="1"/>
    <col min="3" max="3" width="12.875" customWidth="1"/>
    <col min="4" max="4" width="15" bestFit="1" customWidth="1"/>
    <col min="5" max="5" width="14.625" bestFit="1" customWidth="1"/>
    <col min="6" max="6" width="16.875" bestFit="1" customWidth="1"/>
    <col min="7" max="7" width="8.75" bestFit="1" customWidth="1"/>
    <col min="8" max="8" width="16.875" bestFit="1" customWidth="1"/>
    <col min="9" max="9" width="16.875" customWidth="1"/>
    <col min="10" max="10" width="12.5" bestFit="1" customWidth="1"/>
    <col min="11" max="11" width="12.25" bestFit="1" customWidth="1"/>
    <col min="12" max="12" width="8.375" bestFit="1" customWidth="1"/>
    <col min="13" max="13" width="18.25" bestFit="1" customWidth="1"/>
  </cols>
  <sheetData>
    <row r="2" spans="2:3" ht="23.25" x14ac:dyDescent="0.35">
      <c r="B2" s="4" t="s">
        <v>166</v>
      </c>
      <c r="C2" s="4" t="s">
        <v>202</v>
      </c>
    </row>
    <row r="3" spans="2:3" x14ac:dyDescent="0.25">
      <c r="B3" t="s">
        <v>165</v>
      </c>
      <c r="C3" t="s">
        <v>171</v>
      </c>
    </row>
    <row r="4" spans="2:3" x14ac:dyDescent="0.25">
      <c r="B4" t="s">
        <v>163</v>
      </c>
      <c r="C4" t="s">
        <v>203</v>
      </c>
    </row>
    <row r="5" spans="2:3" x14ac:dyDescent="0.25">
      <c r="B5" t="s">
        <v>161</v>
      </c>
      <c r="C5" t="s">
        <v>204</v>
      </c>
    </row>
    <row r="6" spans="2:3" x14ac:dyDescent="0.25">
      <c r="B6" t="s">
        <v>159</v>
      </c>
      <c r="C6" t="s">
        <v>205</v>
      </c>
    </row>
    <row r="34" spans="9:11" x14ac:dyDescent="0.25">
      <c r="I34" s="6"/>
      <c r="K34" s="1"/>
    </row>
    <row r="35" spans="9:11" x14ac:dyDescent="0.25">
      <c r="K35" s="1"/>
    </row>
    <row r="36" spans="9:11" x14ac:dyDescent="0.25">
      <c r="K36" s="1"/>
    </row>
    <row r="37" spans="9:11" x14ac:dyDescent="0.25">
      <c r="K37" s="1"/>
    </row>
    <row r="38" spans="9:11" x14ac:dyDescent="0.25">
      <c r="K38" s="1"/>
    </row>
    <row r="39" spans="9:11" x14ac:dyDescent="0.25">
      <c r="K39" s="1"/>
    </row>
    <row r="40" spans="9:11" x14ac:dyDescent="0.25">
      <c r="K40" s="1"/>
    </row>
    <row r="41" spans="9:11" x14ac:dyDescent="0.25">
      <c r="K41" s="1"/>
    </row>
    <row r="42" spans="9:11" x14ac:dyDescent="0.25">
      <c r="K42" s="1"/>
    </row>
  </sheetData>
  <sortState ref="B3:B30">
    <sortCondition ref="B30"/>
  </sortState>
  <conditionalFormatting sqref="B3:B6">
    <cfRule type="duplicateValues" dxfId="1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"/>
  <sheetViews>
    <sheetView zoomScale="115" zoomScaleNormal="115" workbookViewId="0">
      <selection activeCell="B2" sqref="B2:C6"/>
    </sheetView>
  </sheetViews>
  <sheetFormatPr defaultColWidth="11" defaultRowHeight="15.75" x14ac:dyDescent="0.25"/>
  <cols>
    <col min="1" max="1" width="7" customWidth="1"/>
    <col min="2" max="2" width="17.875" customWidth="1"/>
    <col min="3" max="3" width="15" customWidth="1"/>
    <col min="4" max="4" width="18.25" bestFit="1" customWidth="1"/>
  </cols>
  <sheetData>
    <row r="2" spans="2:3" ht="23.25" x14ac:dyDescent="0.35">
      <c r="B2" s="4" t="s">
        <v>6</v>
      </c>
      <c r="C2" s="4" t="s">
        <v>201</v>
      </c>
    </row>
    <row r="3" spans="2:3" x14ac:dyDescent="0.25">
      <c r="B3" t="s">
        <v>164</v>
      </c>
      <c r="C3" s="9" t="s">
        <v>198</v>
      </c>
    </row>
    <row r="4" spans="2:3" x14ac:dyDescent="0.25">
      <c r="B4" t="s">
        <v>158</v>
      </c>
      <c r="C4" s="9" t="s">
        <v>199</v>
      </c>
    </row>
    <row r="5" spans="2:3" x14ac:dyDescent="0.25">
      <c r="B5" t="s">
        <v>162</v>
      </c>
      <c r="C5" s="9" t="s">
        <v>200</v>
      </c>
    </row>
    <row r="6" spans="2:3" x14ac:dyDescent="0.25">
      <c r="B6" t="s">
        <v>160</v>
      </c>
      <c r="C6" s="9" t="s">
        <v>212</v>
      </c>
    </row>
    <row r="7" spans="2:3" x14ac:dyDescent="0.25">
      <c r="C7" s="9"/>
    </row>
  </sheetData>
  <sortState ref="B3:C6">
    <sortCondition ref="B6"/>
  </sortState>
  <conditionalFormatting sqref="B3:B6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2"/>
  <sheetViews>
    <sheetView zoomScale="115" zoomScaleNormal="115" workbookViewId="0">
      <selection activeCell="D11" sqref="D11"/>
    </sheetView>
  </sheetViews>
  <sheetFormatPr defaultColWidth="11" defaultRowHeight="15.75" x14ac:dyDescent="0.25"/>
  <cols>
    <col min="1" max="1" width="3.5" customWidth="1"/>
    <col min="2" max="2" width="32.875" bestFit="1" customWidth="1"/>
    <col min="3" max="3" width="13.75" customWidth="1"/>
    <col min="4" max="4" width="32.875" bestFit="1" customWidth="1"/>
    <col min="5" max="5" width="15.625" customWidth="1"/>
    <col min="6" max="6" width="14.625" bestFit="1" customWidth="1"/>
    <col min="7" max="7" width="16.875" bestFit="1" customWidth="1"/>
    <col min="8" max="8" width="8.75" bestFit="1" customWidth="1"/>
    <col min="9" max="9" width="16.875" bestFit="1" customWidth="1"/>
    <col min="10" max="10" width="16.875" customWidth="1"/>
    <col min="11" max="11" width="12.5" bestFit="1" customWidth="1"/>
    <col min="12" max="12" width="12.25" bestFit="1" customWidth="1"/>
    <col min="13" max="13" width="8.375" bestFit="1" customWidth="1"/>
    <col min="14" max="14" width="18.25" bestFit="1" customWidth="1"/>
  </cols>
  <sheetData>
    <row r="1" spans="2:5" ht="17.25" customHeight="1" x14ac:dyDescent="0.25"/>
    <row r="2" spans="2:5" ht="23.25" x14ac:dyDescent="0.35">
      <c r="B2" s="4" t="s">
        <v>5</v>
      </c>
      <c r="C2" s="4" t="s">
        <v>168</v>
      </c>
      <c r="D2" s="4" t="s">
        <v>100</v>
      </c>
      <c r="E2" s="4" t="s">
        <v>101</v>
      </c>
    </row>
    <row r="3" spans="2:5" x14ac:dyDescent="0.25">
      <c r="B3" t="s">
        <v>72</v>
      </c>
      <c r="C3" t="s">
        <v>169</v>
      </c>
      <c r="D3" t="s">
        <v>102</v>
      </c>
      <c r="E3" t="s">
        <v>103</v>
      </c>
    </row>
    <row r="4" spans="2:5" x14ac:dyDescent="0.25">
      <c r="B4" t="s">
        <v>90</v>
      </c>
      <c r="C4" t="s">
        <v>170</v>
      </c>
      <c r="D4" t="s">
        <v>138</v>
      </c>
      <c r="E4" t="s">
        <v>139</v>
      </c>
    </row>
    <row r="5" spans="2:5" x14ac:dyDescent="0.25">
      <c r="B5" t="s">
        <v>80</v>
      </c>
      <c r="C5" t="s">
        <v>172</v>
      </c>
      <c r="D5" t="s">
        <v>118</v>
      </c>
      <c r="E5" t="s">
        <v>119</v>
      </c>
    </row>
    <row r="6" spans="2:5" x14ac:dyDescent="0.25">
      <c r="B6" t="s">
        <v>89</v>
      </c>
      <c r="C6" t="s">
        <v>173</v>
      </c>
      <c r="D6" t="s">
        <v>136</v>
      </c>
      <c r="E6" t="s">
        <v>137</v>
      </c>
    </row>
    <row r="7" spans="2:5" x14ac:dyDescent="0.25">
      <c r="B7" t="s">
        <v>88</v>
      </c>
      <c r="C7" t="s">
        <v>174</v>
      </c>
      <c r="D7" t="s">
        <v>134</v>
      </c>
      <c r="E7" t="s">
        <v>135</v>
      </c>
    </row>
    <row r="8" spans="2:5" x14ac:dyDescent="0.25">
      <c r="B8" t="s">
        <v>79</v>
      </c>
      <c r="C8" t="s">
        <v>175</v>
      </c>
      <c r="D8" t="s">
        <v>116</v>
      </c>
      <c r="E8" t="s">
        <v>117</v>
      </c>
    </row>
    <row r="9" spans="2:5" x14ac:dyDescent="0.25">
      <c r="B9" t="s">
        <v>94</v>
      </c>
      <c r="C9" t="s">
        <v>176</v>
      </c>
      <c r="D9" t="s">
        <v>146</v>
      </c>
      <c r="E9" t="s">
        <v>147</v>
      </c>
    </row>
    <row r="10" spans="2:5" x14ac:dyDescent="0.25">
      <c r="B10" t="s">
        <v>83</v>
      </c>
      <c r="C10" t="s">
        <v>177</v>
      </c>
      <c r="D10" t="s">
        <v>124</v>
      </c>
      <c r="E10" t="s">
        <v>125</v>
      </c>
    </row>
    <row r="11" spans="2:5" x14ac:dyDescent="0.25">
      <c r="B11" t="s">
        <v>95</v>
      </c>
      <c r="C11" t="s">
        <v>178</v>
      </c>
      <c r="D11" t="s">
        <v>148</v>
      </c>
      <c r="E11" t="s">
        <v>149</v>
      </c>
    </row>
    <row r="12" spans="2:5" x14ac:dyDescent="0.25">
      <c r="B12" t="s">
        <v>85</v>
      </c>
      <c r="C12" t="s">
        <v>179</v>
      </c>
      <c r="D12" t="s">
        <v>128</v>
      </c>
      <c r="E12" t="s">
        <v>129</v>
      </c>
    </row>
    <row r="13" spans="2:5" x14ac:dyDescent="0.25">
      <c r="B13" t="s">
        <v>97</v>
      </c>
      <c r="C13" t="s">
        <v>180</v>
      </c>
      <c r="D13" t="s">
        <v>152</v>
      </c>
      <c r="E13" t="s">
        <v>153</v>
      </c>
    </row>
    <row r="14" spans="2:5" x14ac:dyDescent="0.25">
      <c r="B14" t="s">
        <v>98</v>
      </c>
      <c r="C14" t="s">
        <v>181</v>
      </c>
      <c r="D14" t="s">
        <v>154</v>
      </c>
      <c r="E14" t="s">
        <v>155</v>
      </c>
    </row>
    <row r="15" spans="2:5" x14ac:dyDescent="0.25">
      <c r="B15" t="s">
        <v>92</v>
      </c>
      <c r="C15" t="s">
        <v>182</v>
      </c>
      <c r="D15" t="s">
        <v>142</v>
      </c>
      <c r="E15" t="s">
        <v>143</v>
      </c>
    </row>
    <row r="16" spans="2:5" x14ac:dyDescent="0.25">
      <c r="B16" t="s">
        <v>91</v>
      </c>
      <c r="C16" t="s">
        <v>183</v>
      </c>
      <c r="D16" t="s">
        <v>140</v>
      </c>
      <c r="E16" t="s">
        <v>141</v>
      </c>
    </row>
    <row r="17" spans="2:5" x14ac:dyDescent="0.25">
      <c r="B17" t="s">
        <v>96</v>
      </c>
      <c r="C17" t="s">
        <v>184</v>
      </c>
      <c r="D17" t="s">
        <v>150</v>
      </c>
      <c r="E17" t="s">
        <v>151</v>
      </c>
    </row>
    <row r="18" spans="2:5" x14ac:dyDescent="0.25">
      <c r="B18" t="s">
        <v>77</v>
      </c>
      <c r="C18" t="s">
        <v>185</v>
      </c>
      <c r="D18" t="s">
        <v>112</v>
      </c>
      <c r="E18" t="s">
        <v>113</v>
      </c>
    </row>
    <row r="19" spans="2:5" x14ac:dyDescent="0.25">
      <c r="B19" t="s">
        <v>99</v>
      </c>
      <c r="C19" t="s">
        <v>186</v>
      </c>
      <c r="D19" t="s">
        <v>156</v>
      </c>
      <c r="E19" t="s">
        <v>157</v>
      </c>
    </row>
    <row r="20" spans="2:5" x14ac:dyDescent="0.25">
      <c r="B20" t="s">
        <v>84</v>
      </c>
      <c r="C20" t="s">
        <v>187</v>
      </c>
      <c r="D20" t="s">
        <v>126</v>
      </c>
      <c r="E20" t="s">
        <v>127</v>
      </c>
    </row>
    <row r="21" spans="2:5" x14ac:dyDescent="0.25">
      <c r="B21" t="s">
        <v>93</v>
      </c>
      <c r="C21" t="s">
        <v>188</v>
      </c>
      <c r="D21" t="s">
        <v>144</v>
      </c>
      <c r="E21" t="s">
        <v>145</v>
      </c>
    </row>
    <row r="22" spans="2:5" x14ac:dyDescent="0.25">
      <c r="B22" t="s">
        <v>78</v>
      </c>
      <c r="C22" t="s">
        <v>189</v>
      </c>
      <c r="D22" t="s">
        <v>114</v>
      </c>
      <c r="E22" t="s">
        <v>115</v>
      </c>
    </row>
    <row r="23" spans="2:5" x14ac:dyDescent="0.25">
      <c r="B23" t="s">
        <v>74</v>
      </c>
      <c r="C23" t="s">
        <v>190</v>
      </c>
      <c r="D23" t="s">
        <v>106</v>
      </c>
      <c r="E23" t="s">
        <v>107</v>
      </c>
    </row>
    <row r="24" spans="2:5" x14ac:dyDescent="0.25">
      <c r="B24" t="s">
        <v>82</v>
      </c>
      <c r="C24" t="s">
        <v>191</v>
      </c>
      <c r="D24" t="s">
        <v>122</v>
      </c>
      <c r="E24" t="s">
        <v>123</v>
      </c>
    </row>
    <row r="25" spans="2:5" x14ac:dyDescent="0.25">
      <c r="B25" t="s">
        <v>73</v>
      </c>
      <c r="C25" t="s">
        <v>192</v>
      </c>
      <c r="D25" t="s">
        <v>104</v>
      </c>
      <c r="E25" t="s">
        <v>105</v>
      </c>
    </row>
    <row r="26" spans="2:5" x14ac:dyDescent="0.25">
      <c r="B26" t="s">
        <v>76</v>
      </c>
      <c r="C26" t="s">
        <v>193</v>
      </c>
      <c r="D26" t="s">
        <v>110</v>
      </c>
      <c r="E26" t="s">
        <v>111</v>
      </c>
    </row>
    <row r="27" spans="2:5" x14ac:dyDescent="0.25">
      <c r="B27" t="s">
        <v>87</v>
      </c>
      <c r="C27" t="s">
        <v>194</v>
      </c>
      <c r="D27" t="s">
        <v>132</v>
      </c>
      <c r="E27" t="s">
        <v>133</v>
      </c>
    </row>
    <row r="28" spans="2:5" x14ac:dyDescent="0.25">
      <c r="B28" t="s">
        <v>75</v>
      </c>
      <c r="C28" t="s">
        <v>195</v>
      </c>
      <c r="D28" t="s">
        <v>108</v>
      </c>
      <c r="E28" t="s">
        <v>109</v>
      </c>
    </row>
    <row r="29" spans="2:5" x14ac:dyDescent="0.25">
      <c r="B29" t="s">
        <v>86</v>
      </c>
      <c r="C29" t="s">
        <v>196</v>
      </c>
      <c r="D29" t="s">
        <v>130</v>
      </c>
      <c r="E29" t="s">
        <v>131</v>
      </c>
    </row>
    <row r="30" spans="2:5" x14ac:dyDescent="0.25">
      <c r="B30" t="s">
        <v>81</v>
      </c>
      <c r="C30" t="s">
        <v>197</v>
      </c>
      <c r="D30" t="s">
        <v>120</v>
      </c>
      <c r="E30" t="s">
        <v>121</v>
      </c>
    </row>
    <row r="34" spans="10:12" x14ac:dyDescent="0.25">
      <c r="J34" s="6"/>
      <c r="L34" s="1"/>
    </row>
    <row r="35" spans="10:12" x14ac:dyDescent="0.25">
      <c r="L35" s="1"/>
    </row>
    <row r="36" spans="10:12" x14ac:dyDescent="0.25">
      <c r="L36" s="1"/>
    </row>
    <row r="37" spans="10:12" x14ac:dyDescent="0.25">
      <c r="L37" s="1"/>
    </row>
    <row r="38" spans="10:12" x14ac:dyDescent="0.25">
      <c r="L38" s="1"/>
    </row>
    <row r="39" spans="10:12" x14ac:dyDescent="0.25">
      <c r="L39" s="1"/>
    </row>
    <row r="40" spans="10:12" x14ac:dyDescent="0.25">
      <c r="L40" s="1"/>
    </row>
    <row r="41" spans="10:12" x14ac:dyDescent="0.25">
      <c r="L41" s="1"/>
    </row>
    <row r="42" spans="10:12" x14ac:dyDescent="0.25">
      <c r="L42" s="1"/>
    </row>
  </sheetData>
  <sortState ref="B3:E30">
    <sortCondition ref="B3:B30"/>
    <sortCondition ref="D3:D30"/>
    <sortCondition ref="E3:E30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2"/>
  <sheetViews>
    <sheetView tabSelected="1" zoomScaleNormal="100" workbookViewId="0">
      <selection activeCell="I10" sqref="I10"/>
    </sheetView>
  </sheetViews>
  <sheetFormatPr defaultColWidth="11" defaultRowHeight="15.75" x14ac:dyDescent="0.25"/>
  <cols>
    <col min="1" max="1" width="3.5" customWidth="1"/>
    <col min="2" max="2" width="13.875" customWidth="1"/>
    <col min="3" max="3" width="10.375" customWidth="1"/>
    <col min="4" max="4" width="14.125" customWidth="1"/>
    <col min="5" max="5" width="12.875" customWidth="1"/>
    <col min="6" max="6" width="13.25" customWidth="1"/>
    <col min="7" max="7" width="18" customWidth="1"/>
    <col min="8" max="8" width="16.875" bestFit="1" customWidth="1"/>
    <col min="9" max="9" width="16.25" customWidth="1"/>
    <col min="10" max="10" width="19.5" customWidth="1"/>
    <col min="11" max="12" width="16.875" bestFit="1" customWidth="1"/>
    <col min="13" max="13" width="16.875" customWidth="1"/>
    <col min="14" max="14" width="12.5" bestFit="1" customWidth="1"/>
    <col min="15" max="15" width="12.25" bestFit="1" customWidth="1"/>
    <col min="16" max="16" width="8.375" bestFit="1" customWidth="1"/>
    <col min="17" max="17" width="18.25" bestFit="1" customWidth="1"/>
  </cols>
  <sheetData>
    <row r="1" spans="2:11" x14ac:dyDescent="0.25">
      <c r="K1" s="1"/>
    </row>
    <row r="2" spans="2:11" ht="51.75" customHeight="1" x14ac:dyDescent="0.25">
      <c r="B2" s="12" t="s">
        <v>245</v>
      </c>
      <c r="C2" s="12" t="s">
        <v>0</v>
      </c>
      <c r="D2" s="12" t="s">
        <v>241</v>
      </c>
      <c r="E2" s="12" t="s">
        <v>242</v>
      </c>
      <c r="F2" s="12" t="s">
        <v>243</v>
      </c>
      <c r="G2" s="12" t="s">
        <v>244</v>
      </c>
      <c r="H2" s="12" t="s">
        <v>2</v>
      </c>
      <c r="I2" s="12" t="s">
        <v>3</v>
      </c>
      <c r="J2" s="12" t="s">
        <v>4</v>
      </c>
    </row>
    <row r="3" spans="2:11" x14ac:dyDescent="0.25">
      <c r="B3" t="s">
        <v>213</v>
      </c>
      <c r="C3" s="5">
        <v>45076</v>
      </c>
      <c r="D3" s="10" t="s">
        <v>246</v>
      </c>
      <c r="E3" s="11" t="s">
        <v>199</v>
      </c>
      <c r="F3" s="11" t="s">
        <v>205</v>
      </c>
      <c r="G3" s="11" t="s">
        <v>211</v>
      </c>
      <c r="H3" s="8">
        <v>4500</v>
      </c>
      <c r="I3" s="8">
        <v>598</v>
      </c>
      <c r="J3" s="7">
        <f t="shared" ref="J3:J30" si="0">IFERROR(I3/H3, 0)</f>
        <v>0.13288888888888889</v>
      </c>
    </row>
    <row r="4" spans="2:11" x14ac:dyDescent="0.25">
      <c r="B4" t="s">
        <v>214</v>
      </c>
      <c r="C4" s="5">
        <v>45076</v>
      </c>
      <c r="D4" s="10" t="s">
        <v>192</v>
      </c>
      <c r="E4" s="11" t="s">
        <v>212</v>
      </c>
      <c r="F4" s="11" t="s">
        <v>204</v>
      </c>
      <c r="G4" s="11" t="s">
        <v>210</v>
      </c>
      <c r="H4" s="8">
        <v>3800</v>
      </c>
      <c r="I4" s="8">
        <v>1045</v>
      </c>
      <c r="J4" s="7">
        <f t="shared" si="0"/>
        <v>0.27500000000000002</v>
      </c>
    </row>
    <row r="5" spans="2:11" x14ac:dyDescent="0.25">
      <c r="B5" t="s">
        <v>218</v>
      </c>
      <c r="C5" s="5">
        <v>45076</v>
      </c>
      <c r="D5" s="10" t="s">
        <v>190</v>
      </c>
      <c r="E5" s="11" t="s">
        <v>212</v>
      </c>
      <c r="F5" s="11" t="s">
        <v>204</v>
      </c>
      <c r="G5" s="11" t="s">
        <v>209</v>
      </c>
      <c r="H5" s="8">
        <v>3712.5</v>
      </c>
      <c r="I5" s="8">
        <v>1009</v>
      </c>
      <c r="J5" s="7">
        <f t="shared" si="0"/>
        <v>0.2717845117845118</v>
      </c>
    </row>
    <row r="6" spans="2:11" x14ac:dyDescent="0.25">
      <c r="B6" t="s">
        <v>217</v>
      </c>
      <c r="C6" s="5">
        <v>45076</v>
      </c>
      <c r="D6" s="10" t="s">
        <v>195</v>
      </c>
      <c r="E6" s="11" t="s">
        <v>200</v>
      </c>
      <c r="F6" s="11" t="s">
        <v>203</v>
      </c>
      <c r="G6" s="11" t="s">
        <v>209</v>
      </c>
      <c r="H6" s="8">
        <v>4994</v>
      </c>
      <c r="I6" s="8">
        <v>779</v>
      </c>
      <c r="J6" s="7">
        <f t="shared" si="0"/>
        <v>0.15598718462154584</v>
      </c>
    </row>
    <row r="7" spans="2:11" x14ac:dyDescent="0.25">
      <c r="B7" t="s">
        <v>216</v>
      </c>
      <c r="C7" s="5">
        <v>45076</v>
      </c>
      <c r="D7" s="10" t="s">
        <v>193</v>
      </c>
      <c r="E7" s="11" t="s">
        <v>200</v>
      </c>
      <c r="F7" s="11" t="s">
        <v>203</v>
      </c>
      <c r="G7" s="11" t="s">
        <v>208</v>
      </c>
      <c r="H7" s="8">
        <v>5000</v>
      </c>
      <c r="I7" s="8">
        <v>684</v>
      </c>
      <c r="J7" s="7">
        <f t="shared" si="0"/>
        <v>0.1368</v>
      </c>
    </row>
    <row r="8" spans="2:11" x14ac:dyDescent="0.25">
      <c r="B8" t="s">
        <v>219</v>
      </c>
      <c r="C8" s="5">
        <v>45077</v>
      </c>
      <c r="D8" s="10" t="s">
        <v>185</v>
      </c>
      <c r="E8" s="11" t="s">
        <v>199</v>
      </c>
      <c r="F8" s="11" t="s">
        <v>205</v>
      </c>
      <c r="G8" s="11" t="s">
        <v>211</v>
      </c>
      <c r="H8" s="8">
        <v>6100</v>
      </c>
      <c r="I8" s="8">
        <v>544</v>
      </c>
      <c r="J8" s="7">
        <f t="shared" si="0"/>
        <v>8.9180327868852466E-2</v>
      </c>
    </row>
    <row r="9" spans="2:11" x14ac:dyDescent="0.25">
      <c r="B9" t="s">
        <v>220</v>
      </c>
      <c r="C9" s="5">
        <v>45077</v>
      </c>
      <c r="D9" s="10" t="s">
        <v>189</v>
      </c>
      <c r="E9" s="11" t="s">
        <v>199</v>
      </c>
      <c r="F9" s="11" t="s">
        <v>205</v>
      </c>
      <c r="G9" s="11" t="s">
        <v>211</v>
      </c>
      <c r="H9" s="8">
        <v>4625</v>
      </c>
      <c r="I9" s="8">
        <v>670</v>
      </c>
      <c r="J9" s="7">
        <f t="shared" si="0"/>
        <v>0.14486486486486486</v>
      </c>
    </row>
    <row r="10" spans="2:11" x14ac:dyDescent="0.25">
      <c r="B10" t="s">
        <v>221</v>
      </c>
      <c r="C10" s="5">
        <v>45077</v>
      </c>
      <c r="D10" s="10" t="s">
        <v>175</v>
      </c>
      <c r="E10" s="11" t="s">
        <v>199</v>
      </c>
      <c r="F10" s="11" t="s">
        <v>205</v>
      </c>
      <c r="G10" s="11" t="s">
        <v>211</v>
      </c>
      <c r="H10" s="8">
        <v>3800</v>
      </c>
      <c r="I10" s="8">
        <v>2045</v>
      </c>
      <c r="J10" s="7">
        <f t="shared" si="0"/>
        <v>0.53815789473684206</v>
      </c>
    </row>
    <row r="11" spans="2:11" x14ac:dyDescent="0.25">
      <c r="B11" t="s">
        <v>215</v>
      </c>
      <c r="C11" s="5">
        <v>45077</v>
      </c>
      <c r="D11" s="10" t="s">
        <v>172</v>
      </c>
      <c r="E11" s="11" t="s">
        <v>199</v>
      </c>
      <c r="F11" s="11" t="s">
        <v>205</v>
      </c>
      <c r="G11" s="11" t="s">
        <v>207</v>
      </c>
      <c r="H11" s="8">
        <v>3600</v>
      </c>
      <c r="I11" s="8">
        <v>1564</v>
      </c>
      <c r="J11" s="7">
        <f t="shared" si="0"/>
        <v>0.43444444444444447</v>
      </c>
    </row>
    <row r="12" spans="2:11" x14ac:dyDescent="0.25">
      <c r="B12" t="s">
        <v>222</v>
      </c>
      <c r="C12" s="5">
        <v>45077</v>
      </c>
      <c r="D12" s="10" t="s">
        <v>197</v>
      </c>
      <c r="E12" s="11" t="s">
        <v>199</v>
      </c>
      <c r="F12" s="11" t="s">
        <v>205</v>
      </c>
      <c r="G12" s="11" t="s">
        <v>208</v>
      </c>
      <c r="H12" s="8">
        <v>5100</v>
      </c>
      <c r="I12" s="8">
        <v>1220</v>
      </c>
      <c r="J12" s="7">
        <f t="shared" si="0"/>
        <v>0.23921568627450981</v>
      </c>
    </row>
    <row r="13" spans="2:11" x14ac:dyDescent="0.25">
      <c r="B13" t="s">
        <v>223</v>
      </c>
      <c r="C13" s="5">
        <v>45077</v>
      </c>
      <c r="D13" s="10" t="s">
        <v>191</v>
      </c>
      <c r="E13" s="11" t="s">
        <v>199</v>
      </c>
      <c r="F13" s="11" t="s">
        <v>205</v>
      </c>
      <c r="G13" s="11" t="s">
        <v>208</v>
      </c>
      <c r="H13" s="8">
        <v>4750</v>
      </c>
      <c r="I13" s="8">
        <v>1435</v>
      </c>
      <c r="J13" s="7">
        <f t="shared" si="0"/>
        <v>0.30210526315789471</v>
      </c>
    </row>
    <row r="14" spans="2:11" x14ac:dyDescent="0.25">
      <c r="B14" t="s">
        <v>224</v>
      </c>
      <c r="C14" s="5">
        <v>45077</v>
      </c>
      <c r="D14" s="10" t="s">
        <v>177</v>
      </c>
      <c r="E14" s="11" t="s">
        <v>200</v>
      </c>
      <c r="F14" s="11" t="s">
        <v>203</v>
      </c>
      <c r="G14" s="11" t="s">
        <v>211</v>
      </c>
      <c r="H14" s="8">
        <v>6000</v>
      </c>
      <c r="I14" s="8">
        <v>998</v>
      </c>
      <c r="J14" s="7">
        <f t="shared" si="0"/>
        <v>0.16633333333333333</v>
      </c>
    </row>
    <row r="15" spans="2:11" x14ac:dyDescent="0.25">
      <c r="B15" t="s">
        <v>225</v>
      </c>
      <c r="C15" s="5">
        <v>45077</v>
      </c>
      <c r="D15" s="10" t="s">
        <v>187</v>
      </c>
      <c r="E15" s="11" t="s">
        <v>198</v>
      </c>
      <c r="F15" s="11" t="s">
        <v>171</v>
      </c>
      <c r="G15" s="11" t="s">
        <v>208</v>
      </c>
      <c r="H15" s="8">
        <v>4500</v>
      </c>
      <c r="I15" s="8">
        <v>780</v>
      </c>
      <c r="J15" s="7">
        <f t="shared" si="0"/>
        <v>0.17333333333333334</v>
      </c>
    </row>
    <row r="16" spans="2:11" x14ac:dyDescent="0.25">
      <c r="B16" t="s">
        <v>226</v>
      </c>
      <c r="C16" s="5">
        <v>45078</v>
      </c>
      <c r="D16" s="10" t="s">
        <v>179</v>
      </c>
      <c r="E16" s="11" t="s">
        <v>198</v>
      </c>
      <c r="F16" s="11" t="s">
        <v>171</v>
      </c>
      <c r="G16" s="11" t="s">
        <v>207</v>
      </c>
      <c r="H16" s="8">
        <v>4994</v>
      </c>
      <c r="I16" s="8">
        <v>1044</v>
      </c>
      <c r="J16" s="7">
        <f t="shared" si="0"/>
        <v>0.20905086103323989</v>
      </c>
    </row>
    <row r="17" spans="2:10" x14ac:dyDescent="0.25">
      <c r="B17" t="s">
        <v>227</v>
      </c>
      <c r="C17" s="5">
        <v>45078</v>
      </c>
      <c r="D17" s="10" t="s">
        <v>196</v>
      </c>
      <c r="E17" s="11" t="s">
        <v>198</v>
      </c>
      <c r="F17" s="11" t="s">
        <v>171</v>
      </c>
      <c r="G17" s="11" t="s">
        <v>211</v>
      </c>
      <c r="H17" s="8">
        <v>3712.5</v>
      </c>
      <c r="I17" s="8">
        <v>1222</v>
      </c>
      <c r="J17" s="7">
        <f t="shared" si="0"/>
        <v>0.32915824915824915</v>
      </c>
    </row>
    <row r="18" spans="2:10" x14ac:dyDescent="0.25">
      <c r="B18" t="s">
        <v>228</v>
      </c>
      <c r="C18" s="5">
        <v>45078</v>
      </c>
      <c r="D18" s="10" t="s">
        <v>194</v>
      </c>
      <c r="E18" s="11" t="s">
        <v>198</v>
      </c>
      <c r="F18" s="11" t="s">
        <v>171</v>
      </c>
      <c r="G18" s="11" t="s">
        <v>211</v>
      </c>
      <c r="H18" s="8">
        <v>4950</v>
      </c>
      <c r="I18" s="8">
        <v>1065</v>
      </c>
      <c r="J18" s="7">
        <f t="shared" si="0"/>
        <v>0.21515151515151515</v>
      </c>
    </row>
    <row r="19" spans="2:10" x14ac:dyDescent="0.25">
      <c r="B19" t="s">
        <v>229</v>
      </c>
      <c r="C19" s="5">
        <v>45078</v>
      </c>
      <c r="D19" s="10" t="s">
        <v>174</v>
      </c>
      <c r="E19" s="11" t="s">
        <v>200</v>
      </c>
      <c r="F19" s="11" t="s">
        <v>203</v>
      </c>
      <c r="G19" s="11" t="s">
        <v>211</v>
      </c>
      <c r="H19" s="8">
        <v>4750</v>
      </c>
      <c r="I19" s="8">
        <v>810</v>
      </c>
      <c r="J19" s="7">
        <f t="shared" si="0"/>
        <v>0.17052631578947369</v>
      </c>
    </row>
    <row r="20" spans="2:10" x14ac:dyDescent="0.25">
      <c r="B20" t="s">
        <v>230</v>
      </c>
      <c r="C20" s="5">
        <v>45078</v>
      </c>
      <c r="D20" s="10" t="s">
        <v>173</v>
      </c>
      <c r="E20" s="11" t="s">
        <v>200</v>
      </c>
      <c r="F20" s="11" t="s">
        <v>203</v>
      </c>
      <c r="G20" s="11" t="s">
        <v>211</v>
      </c>
      <c r="H20" s="8">
        <v>7320</v>
      </c>
      <c r="I20" s="8">
        <v>933</v>
      </c>
      <c r="J20" s="7">
        <f t="shared" si="0"/>
        <v>0.12745901639344262</v>
      </c>
    </row>
    <row r="21" spans="2:10" x14ac:dyDescent="0.25">
      <c r="B21" t="s">
        <v>231</v>
      </c>
      <c r="C21" s="5">
        <v>45078</v>
      </c>
      <c r="D21" s="10" t="s">
        <v>170</v>
      </c>
      <c r="E21" s="11" t="s">
        <v>198</v>
      </c>
      <c r="F21" s="11" t="s">
        <v>171</v>
      </c>
      <c r="G21" s="11" t="s">
        <v>211</v>
      </c>
      <c r="H21" s="8">
        <v>5087.5</v>
      </c>
      <c r="I21" s="8">
        <v>655</v>
      </c>
      <c r="J21" s="7">
        <f t="shared" si="0"/>
        <v>0.12874692874692875</v>
      </c>
    </row>
    <row r="22" spans="2:10" x14ac:dyDescent="0.25">
      <c r="B22" t="s">
        <v>232</v>
      </c>
      <c r="C22" s="5">
        <v>45078</v>
      </c>
      <c r="D22" s="10" t="s">
        <v>183</v>
      </c>
      <c r="E22" s="11" t="s">
        <v>198</v>
      </c>
      <c r="F22" s="11" t="s">
        <v>171</v>
      </c>
      <c r="G22" s="11" t="s">
        <v>211</v>
      </c>
      <c r="H22" s="8">
        <v>4500</v>
      </c>
      <c r="I22" s="8">
        <v>722</v>
      </c>
      <c r="J22" s="7">
        <f t="shared" si="0"/>
        <v>0.16044444444444445</v>
      </c>
    </row>
    <row r="23" spans="2:10" x14ac:dyDescent="0.25">
      <c r="B23" t="s">
        <v>233</v>
      </c>
      <c r="C23" s="5">
        <v>45078</v>
      </c>
      <c r="D23" s="10" t="s">
        <v>182</v>
      </c>
      <c r="E23" s="11" t="s">
        <v>198</v>
      </c>
      <c r="F23" s="11" t="s">
        <v>171</v>
      </c>
      <c r="G23" s="11" t="s">
        <v>207</v>
      </c>
      <c r="H23" s="8">
        <v>4250</v>
      </c>
      <c r="I23" s="8">
        <v>901</v>
      </c>
      <c r="J23" s="7">
        <f t="shared" si="0"/>
        <v>0.21199999999999999</v>
      </c>
    </row>
    <row r="24" spans="2:10" x14ac:dyDescent="0.25">
      <c r="B24" t="s">
        <v>234</v>
      </c>
      <c r="C24" s="5">
        <v>45079</v>
      </c>
      <c r="D24" s="10" t="s">
        <v>188</v>
      </c>
      <c r="E24" s="11" t="s">
        <v>198</v>
      </c>
      <c r="F24" s="11" t="s">
        <v>171</v>
      </c>
      <c r="G24" s="11" t="s">
        <v>210</v>
      </c>
      <c r="H24" s="8">
        <v>5250</v>
      </c>
      <c r="I24" s="8">
        <v>1349</v>
      </c>
      <c r="J24" s="7">
        <f t="shared" si="0"/>
        <v>0.25695238095238093</v>
      </c>
    </row>
    <row r="25" spans="2:10" x14ac:dyDescent="0.25">
      <c r="B25" t="s">
        <v>235</v>
      </c>
      <c r="C25" s="5">
        <v>45079</v>
      </c>
      <c r="D25" s="10" t="s">
        <v>176</v>
      </c>
      <c r="E25" s="11" t="s">
        <v>212</v>
      </c>
      <c r="F25" s="11" t="s">
        <v>204</v>
      </c>
      <c r="G25" s="11" t="s">
        <v>210</v>
      </c>
      <c r="H25" s="8">
        <v>6500</v>
      </c>
      <c r="I25" s="8">
        <v>1288</v>
      </c>
      <c r="J25" s="7">
        <f t="shared" si="0"/>
        <v>0.19815384615384615</v>
      </c>
    </row>
    <row r="26" spans="2:10" x14ac:dyDescent="0.25">
      <c r="B26" t="s">
        <v>236</v>
      </c>
      <c r="C26" s="5">
        <v>45079</v>
      </c>
      <c r="D26" s="10" t="s">
        <v>178</v>
      </c>
      <c r="E26" s="11" t="s">
        <v>212</v>
      </c>
      <c r="F26" s="11" t="s">
        <v>204</v>
      </c>
      <c r="G26" s="11" t="s">
        <v>210</v>
      </c>
      <c r="H26" s="8">
        <v>7500</v>
      </c>
      <c r="I26" s="8">
        <v>1664</v>
      </c>
      <c r="J26" s="7">
        <f t="shared" si="0"/>
        <v>0.22186666666666666</v>
      </c>
    </row>
    <row r="27" spans="2:10" x14ac:dyDescent="0.25">
      <c r="B27" t="s">
        <v>237</v>
      </c>
      <c r="C27" s="5">
        <v>45079</v>
      </c>
      <c r="D27" s="10" t="s">
        <v>184</v>
      </c>
      <c r="E27" s="11" t="s">
        <v>212</v>
      </c>
      <c r="F27" s="11" t="s">
        <v>204</v>
      </c>
      <c r="G27" s="11" t="s">
        <v>211</v>
      </c>
      <c r="H27" s="8">
        <v>5500</v>
      </c>
      <c r="I27" s="8">
        <v>1320</v>
      </c>
      <c r="J27" s="7">
        <f t="shared" si="0"/>
        <v>0.24</v>
      </c>
    </row>
    <row r="28" spans="2:10" x14ac:dyDescent="0.25">
      <c r="B28" t="s">
        <v>238</v>
      </c>
      <c r="C28" s="5">
        <v>45079</v>
      </c>
      <c r="D28" s="10" t="s">
        <v>180</v>
      </c>
      <c r="E28" s="11" t="s">
        <v>212</v>
      </c>
      <c r="F28" s="11" t="s">
        <v>204</v>
      </c>
      <c r="G28" s="11" t="s">
        <v>211</v>
      </c>
      <c r="H28" s="8">
        <v>4625</v>
      </c>
      <c r="I28" s="8">
        <v>1001</v>
      </c>
      <c r="J28" s="7">
        <f t="shared" si="0"/>
        <v>0.21643243243243243</v>
      </c>
    </row>
    <row r="29" spans="2:10" x14ac:dyDescent="0.25">
      <c r="B29" t="s">
        <v>239</v>
      </c>
      <c r="C29" s="5">
        <v>45079</v>
      </c>
      <c r="D29" s="10" t="s">
        <v>181</v>
      </c>
      <c r="E29" s="11" t="s">
        <v>212</v>
      </c>
      <c r="F29" s="11" t="s">
        <v>204</v>
      </c>
      <c r="G29" s="11" t="s">
        <v>211</v>
      </c>
      <c r="H29" s="8">
        <v>4500</v>
      </c>
      <c r="I29" s="8">
        <v>960</v>
      </c>
      <c r="J29" s="7">
        <f t="shared" si="0"/>
        <v>0.21333333333333335</v>
      </c>
    </row>
    <row r="30" spans="2:10" x14ac:dyDescent="0.25">
      <c r="B30" t="s">
        <v>240</v>
      </c>
      <c r="C30" s="5">
        <v>45079</v>
      </c>
      <c r="D30" s="10" t="s">
        <v>186</v>
      </c>
      <c r="E30" s="11" t="s">
        <v>212</v>
      </c>
      <c r="F30" s="11" t="s">
        <v>204</v>
      </c>
      <c r="G30" s="11" t="s">
        <v>207</v>
      </c>
      <c r="H30" s="8">
        <v>5400</v>
      </c>
      <c r="I30" s="8">
        <v>540</v>
      </c>
      <c r="J30" s="7">
        <f t="shared" si="0"/>
        <v>0.1</v>
      </c>
    </row>
    <row r="31" spans="2:10" x14ac:dyDescent="0.25">
      <c r="B31" t="s">
        <v>247</v>
      </c>
      <c r="C31" s="5">
        <v>44963</v>
      </c>
      <c r="D31" s="10" t="s">
        <v>182</v>
      </c>
      <c r="E31" s="11" t="s">
        <v>248</v>
      </c>
      <c r="F31" s="11" t="s">
        <v>204</v>
      </c>
      <c r="G31" s="11" t="s">
        <v>208</v>
      </c>
      <c r="H31" s="8">
        <v>6000</v>
      </c>
      <c r="I31" s="8">
        <v>500</v>
      </c>
      <c r="J31" s="7">
        <f>IFERROR(I31/H31, 0)</f>
        <v>8.3333333333333329E-2</v>
      </c>
    </row>
    <row r="34" spans="13:15" x14ac:dyDescent="0.25">
      <c r="M34" s="6"/>
      <c r="O34" s="1"/>
    </row>
    <row r="35" spans="13:15" x14ac:dyDescent="0.25">
      <c r="O35" s="1"/>
    </row>
    <row r="37" spans="13:15" x14ac:dyDescent="0.25">
      <c r="O37" s="1"/>
    </row>
    <row r="38" spans="13:15" x14ac:dyDescent="0.25">
      <c r="O38" s="1"/>
    </row>
    <row r="39" spans="13:15" x14ac:dyDescent="0.25">
      <c r="O39" s="1"/>
    </row>
    <row r="40" spans="13:15" x14ac:dyDescent="0.25">
      <c r="O40" s="1"/>
    </row>
    <row r="41" spans="13:15" x14ac:dyDescent="0.25">
      <c r="O41" s="1"/>
    </row>
    <row r="42" spans="13:15" x14ac:dyDescent="0.25">
      <c r="O42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zoomScale="115" zoomScaleNormal="115" workbookViewId="0">
      <selection activeCell="C10" sqref="C10"/>
    </sheetView>
  </sheetViews>
  <sheetFormatPr defaultColWidth="11" defaultRowHeight="15.75" x14ac:dyDescent="0.25"/>
  <cols>
    <col min="1" max="1" width="3.5" customWidth="1"/>
    <col min="2" max="2" width="5.875" customWidth="1"/>
    <col min="3" max="3" width="21" customWidth="1"/>
    <col min="4" max="4" width="16.875" bestFit="1" customWidth="1"/>
    <col min="5" max="5" width="20.625" customWidth="1"/>
    <col min="6" max="6" width="12.25" bestFit="1" customWidth="1"/>
    <col min="7" max="7" width="12" bestFit="1" customWidth="1"/>
    <col min="8" max="8" width="8.25" bestFit="1" customWidth="1"/>
    <col min="9" max="9" width="18.125" bestFit="1" customWidth="1"/>
  </cols>
  <sheetData>
    <row r="2" spans="2:9" ht="23.25" x14ac:dyDescent="0.35">
      <c r="B2" s="4" t="s">
        <v>0</v>
      </c>
      <c r="C2" s="4" t="s">
        <v>5</v>
      </c>
      <c r="D2" s="4" t="s">
        <v>1</v>
      </c>
      <c r="E2" s="4" t="s">
        <v>6</v>
      </c>
      <c r="F2" s="4" t="s">
        <v>47</v>
      </c>
      <c r="G2" s="4" t="s">
        <v>2</v>
      </c>
      <c r="H2" s="4" t="s">
        <v>3</v>
      </c>
      <c r="I2" s="4" t="s">
        <v>4</v>
      </c>
    </row>
    <row r="3" spans="2:9" x14ac:dyDescent="0.25">
      <c r="B3" s="3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3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3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3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3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x14ac:dyDescent="0.25">
      <c r="B8" s="3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3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ht="164.25" customHeight="1" x14ac:dyDescent="0.25">
      <c r="B10" s="3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3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25">
      <c r="B12" s="3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3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3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3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3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3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25">
      <c r="B18" s="3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3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59.75" customHeight="1" x14ac:dyDescent="0.25">
      <c r="B20" s="3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3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3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x14ac:dyDescent="0.25">
      <c r="B23" s="3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25">
      <c r="B24" s="3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3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3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3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3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3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3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3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3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3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ADFA386E-772D-4702-AF13-00E29582D14F}">
  <ds:schemaRefs/>
</ds:datastoreItem>
</file>

<file path=customXml/itemProps2.xml><?xml version="1.0" encoding="utf-8"?>
<ds:datastoreItem xmlns:ds="http://schemas.openxmlformats.org/officeDocument/2006/customXml" ds:itemID="{F3052D90-0398-42A5-8B3F-2C6B775F9305}">
  <ds:schemaRefs/>
</ds:datastoreItem>
</file>

<file path=customXml/itemProps3.xml><?xml version="1.0" encoding="utf-8"?>
<ds:datastoreItem xmlns:ds="http://schemas.openxmlformats.org/officeDocument/2006/customXml" ds:itemID="{6FB2A474-42D6-446B-BF97-10C475B8F9AC}">
  <ds:schemaRefs/>
</ds:datastoreItem>
</file>

<file path=customXml/itemProps4.xml><?xml version="1.0" encoding="utf-8"?>
<ds:datastoreItem xmlns:ds="http://schemas.openxmlformats.org/officeDocument/2006/customXml" ds:itemID="{CFACA379-80F8-42E0-8BF2-088FBD979C93}">
  <ds:schemaRefs/>
</ds:datastoreItem>
</file>

<file path=customXml/itemProps5.xml><?xml version="1.0" encoding="utf-8"?>
<ds:datastoreItem xmlns:ds="http://schemas.openxmlformats.org/officeDocument/2006/customXml" ds:itemID="{E6C440E2-F3D6-4CEB-AE60-A6FC0E3256BD}">
  <ds:schemaRefs/>
</ds:datastoreItem>
</file>

<file path=customXml/itemProps6.xml><?xml version="1.0" encoding="utf-8"?>
<ds:datastoreItem xmlns:ds="http://schemas.openxmlformats.org/officeDocument/2006/customXml" ds:itemID="{0D89ACC3-5807-4474-BF76-3EA071F8BC58}">
  <ds:schemaRefs/>
</ds:datastoreItem>
</file>

<file path=customXml/itemProps7.xml><?xml version="1.0" encoding="utf-8"?>
<ds:datastoreItem xmlns:ds="http://schemas.openxmlformats.org/officeDocument/2006/customXml" ds:itemID="{BAC43E81-E870-44D1-8C2B-89A68E087850}">
  <ds:schemaRefs/>
</ds:datastoreItem>
</file>

<file path=customXml/itemProps8.xml><?xml version="1.0" encoding="utf-8"?>
<ds:datastoreItem xmlns:ds="http://schemas.openxmlformats.org/officeDocument/2006/customXml" ds:itemID="{74B36E37-8681-425B-8A85-6F1CC185FED7}">
  <ds:schemaRefs/>
</ds:datastoreItem>
</file>

<file path=customXml/itemProps9.xml><?xml version="1.0" encoding="utf-8"?>
<ds:datastoreItem xmlns:ds="http://schemas.openxmlformats.org/officeDocument/2006/customXml" ds:itemID="{51E30DA3-02D7-4A79-997C-7F55A7AF5784}">
  <ds:schemaRefs/>
</ds:datastoreItem>
</file>

<file path=customXml/itemProps10.xml><?xml version="1.0" encoding="utf-8"?>
<ds:datastoreItem xmlns:ds="http://schemas.openxmlformats.org/officeDocument/2006/customXml" ds:itemID="{BFB310AD-7296-4051-8229-C10F1CB232DC}">
  <ds:schemaRefs/>
</ds:datastoreItem>
</file>

<file path=customXml/itemProps11.xml><?xml version="1.0" encoding="utf-8"?>
<ds:datastoreItem xmlns:ds="http://schemas.openxmlformats.org/officeDocument/2006/customXml" ds:itemID="{801E16E6-2440-4C5B-990B-F6240E740B86}">
  <ds:schemaRefs/>
</ds:datastoreItem>
</file>

<file path=customXml/itemProps12.xml><?xml version="1.0" encoding="utf-8"?>
<ds:datastoreItem xmlns:ds="http://schemas.openxmlformats.org/officeDocument/2006/customXml" ds:itemID="{A782574A-9C94-486F-B8B9-4D45D3580CCA}">
  <ds:schemaRefs/>
</ds:datastoreItem>
</file>

<file path=customXml/itemProps13.xml><?xml version="1.0" encoding="utf-8"?>
<ds:datastoreItem xmlns:ds="http://schemas.openxmlformats.org/officeDocument/2006/customXml" ds:itemID="{1782A77B-4363-4AD9-B9B2-7536E34B68E5}">
  <ds:schemaRefs/>
</ds:datastoreItem>
</file>

<file path=customXml/itemProps14.xml><?xml version="1.0" encoding="utf-8"?>
<ds:datastoreItem xmlns:ds="http://schemas.openxmlformats.org/officeDocument/2006/customXml" ds:itemID="{505C30DF-6860-4B30-8775-ADD8A81DF743}">
  <ds:schemaRefs/>
</ds:datastoreItem>
</file>

<file path=customXml/itemProps15.xml><?xml version="1.0" encoding="utf-8"?>
<ds:datastoreItem xmlns:ds="http://schemas.openxmlformats.org/officeDocument/2006/customXml" ds:itemID="{722D3B2B-96A8-4CD0-B4B0-0FA552500210}">
  <ds:schemaRefs/>
</ds:datastoreItem>
</file>

<file path=customXml/itemProps16.xml><?xml version="1.0" encoding="utf-8"?>
<ds:datastoreItem xmlns:ds="http://schemas.openxmlformats.org/officeDocument/2006/customXml" ds:itemID="{164E8CA4-E55C-484D-A1E5-751E8C591C82}">
  <ds:schemaRefs/>
</ds:datastoreItem>
</file>

<file path=customXml/itemProps17.xml><?xml version="1.0" encoding="utf-8"?>
<ds:datastoreItem xmlns:ds="http://schemas.openxmlformats.org/officeDocument/2006/customXml" ds:itemID="{37242D24-CB97-4B16-B607-6831FAE5238D}">
  <ds:schemaRefs/>
</ds:datastoreItem>
</file>

<file path=customXml/itemProps18.xml><?xml version="1.0" encoding="utf-8"?>
<ds:datastoreItem xmlns:ds="http://schemas.openxmlformats.org/officeDocument/2006/customXml" ds:itemID="{BA2C16F9-10F7-4D3C-94A2-8C6DE23C244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payment_dim</vt:lpstr>
      <vt:lpstr>state_dim</vt:lpstr>
      <vt:lpstr>department_dim</vt:lpstr>
      <vt:lpstr>client_dim</vt:lpstr>
      <vt:lpstr>revenue_fact</vt:lpstr>
      <vt:lpstr>Dirty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COMLAB</cp:lastModifiedBy>
  <dcterms:created xsi:type="dcterms:W3CDTF">2023-05-29T07:26:35Z</dcterms:created>
  <dcterms:modified xsi:type="dcterms:W3CDTF">2026-02-13T02:39:18Z</dcterms:modified>
</cp:coreProperties>
</file>