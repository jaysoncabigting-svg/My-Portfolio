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MLAB\Downloads\Midterm_Task_2\"/>
    </mc:Choice>
  </mc:AlternateContent>
  <bookViews>
    <workbookView xWindow="0" yWindow="0" windowWidth="28800" windowHeight="12300"/>
  </bookViews>
  <sheets>
    <sheet name="Sheet1" sheetId="2" r:id="rId1"/>
    <sheet name="Bike Sales" sheetId="1" r:id="rId2"/>
  </sheets>
  <calcPr calcId="162913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<sst xmlns="http://schemas.openxmlformats.org/spreadsheetml/2006/main" count="860" uniqueCount="165">
  <si>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</si>
  <si>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</si>
  <si>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</si>
  <si>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</si>
  <si>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</si>
  <si>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</si>
  <si>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</si>
  <si>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</si>
  <si>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</si>
  <si>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</si>
  <si>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</si>
  <si>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</si>
  <si>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</si>
  <si>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</si>
  <si>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</si>
  <si>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</si>
  <si>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</si>
  <si>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</si>
  <si>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</si>
  <si>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</si>
  <si>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</si>
  <si>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</si>
  <si>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</si>
  <si>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</si>
  <si>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</si>
  <si>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</si>
  <si>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</si>
  <si>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</si>
  <si>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</si>
  <si>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</si>
  <si>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</si>
  <si>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</si>
  <si>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</si>
  <si>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</si>
  <si>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</si>
  <si>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</si>
  <si>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</si>
  <si>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</si>
  <si>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</si>
  <si>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</si>
  <si>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</si>
  <si>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</si>
  <si>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</si>
  <si>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</si>
  <si>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</si>
  <si>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</si>
  <si>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</si>
  <si>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</si>
  <si>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</si>
  <si>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</si>
  <si>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</si>
  <si>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</si>
  <si>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</si>
  <si>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</si>
  <si>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</si>
  <si>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</si>
  <si>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</si>
  <si>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</si>
  <si>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</si>
  <si>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</si>
  <si>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</si>
  <si>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</si>
  <si>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</si>
  <si>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</si>
  <si>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</si>
  <si>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</si>
  <si>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</si>
  <si>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</si>
  <si>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</si>
  <si>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</si>
  <si>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</si>
  <si>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</si>
  <si>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</si>
  <si>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</si>
  <si>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</si>
  <si>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</si>
  <si>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</si>
  <si>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</si>
  <si>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</si>
  <si>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</si>
  <si>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</si>
  <si>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</si>
  <si>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</si>
  <si>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</si>
  <si>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</si>
  <si>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</si>
  <si>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</si>
  <si>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</si>
  <si>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</si>
  <si>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</si>
  <si>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</si>
  <si>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</si>
  <si>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</si>
  <si>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</si>
  <si>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</si>
  <si>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</si>
  <si>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</si>
  <si>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</si>
  <si>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</si>
  <si>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</si>
  <si>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</si>
  <si>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</si>
  <si>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</si>
  <si>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</si>
  <si>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</si>
  <si>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</si>
  <si>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</si>
  <si>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</si>
  <si>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</si>
  <si>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</si>
  <si>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</si>
  <si>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</si>
  <si>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</si>
  <si>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</si>
  <si>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</si>
  <si>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</si>
  <si>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</si>
  <si>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</si>
  <si>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</si>
  <si>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</si>
  <si>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</si>
  <si>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</si>
  <si>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</si>
  <si>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</si>
  <si>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</si>
  <si>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</si>
  <si>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</si>
  <si>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</si>
  <si>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</si>
  <si>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</si>
  <si>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</si>
  <si>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</si>
  <si>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</si>
  <si>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</si>
  <si>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</si>
  <si>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</si>
  <si>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</si>
  <si>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</si>
  <si>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</si>
  <si>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</si>
  <si>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</si>
  <si>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</si>
  <si>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</si>
  <si>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</si>
  <si>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</si>
  <si>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</si>
  <si>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</si>
  <si>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</si>
  <si>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</si>
  <si>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</si>
  <si>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</si>
  <si>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</si>
  <si>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</si>
  <si>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</si>
  <si>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</si>
  <si>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</si>
  <si>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</si>
  <si>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</si>
  <si>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Grand Total</t>
  </si>
  <si>
    <t>Column Labels</t>
  </si>
  <si>
    <t>Sum of Order_Quantity</t>
  </si>
  <si>
    <t>Sum of Revenue</t>
  </si>
  <si>
    <t xml:space="preserve">Average of  Profit </t>
  </si>
  <si>
    <t>Total Sum of Revenue</t>
  </si>
  <si>
    <t xml:space="preserve">Total Average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</si>
</sst>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5" formatCode="&quot;₱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indent="1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5" formatCode="&quot;₱&quot;#,##0.00"/>
    </dxf>
    <dxf>
      <numFmt numFmtId="165" formatCode="&quot;₱&quot;#,##0.00"/>
    </dxf>
    <dxf>
      <numFmt numFmtId="165" formatCode="&quot;₱&quot;#,##0.00"/>
    </dxf>
    <dxf>
      <numFmt numFmtId="165" formatCode="&quot;₱&quot;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</a:t>
            </a:r>
            <a:r>
              <a:rPr lang="en-PH" baseline="0"/>
              <a:t> 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1-4833-B149-B943036D604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C1-4833-B149-B943036D604B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C1-4833-B149-B943036D604B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C1-4833-B149-B943036D604B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C1-4833-B149-B943036D604B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Sheet1!$G$5:$G$8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C1-4833-B149-B943036D604B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Sheet1!$H$5:$H$8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C1-4833-B149-B943036D604B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Sheet1!$I$5:$I$8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C1-4833-B149-B943036D6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3167904"/>
        <c:axId val="1023163744"/>
      </c:barChart>
      <c:catAx>
        <c:axId val="10231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63744"/>
        <c:crosses val="autoZero"/>
        <c:auto val="1"/>
        <c:lblAlgn val="ctr"/>
        <c:lblOffset val="100"/>
        <c:noMultiLvlLbl val="0"/>
      </c:catAx>
      <c:valAx>
        <c:axId val="102316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1201833</xdr:colOff>
      <xdr:row>9</xdr:row>
      <xdr:rowOff>14566</xdr:rowOff>
    </xdr:from>
    <xdr:to>
      <xdr:col>7</xdr:col>
      <xdr:colOff>1355913</xdr:colOff>
      <xdr:row>33</xdr:row>
      <xdr:rowOff>145676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LAB" refreshedDate="46073.461582175929" createdVersion="6" refreshedVersion="6" minRefreshableVersion="3" recordCount="88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d v="2021-12-03T00:00:00"/>
    <n v="3"/>
    <s v="December"/>
    <x v="0"/>
    <n v="37"/>
    <x v="0"/>
    <x v="0"/>
    <x v="3"/>
    <s v="California"/>
    <s v="Bikes"/>
    <s v="Mountain Bikes"/>
    <s v="Mountain-200 Black, 46"/>
    <x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d v="2021-12-03T00:00:00"/>
    <n v="3"/>
    <s v="December"/>
    <x v="0"/>
    <n v="37"/>
    <x v="0"/>
    <x v="1"/>
    <x v="4"/>
    <s v="Washington"/>
    <s v="Bikes"/>
    <s v="Mountain Bikes"/>
    <s v="Mountain-200 Black, 46"/>
    <x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d v="2021-12-05T00:00:00"/>
    <m/>
    <s v="December"/>
    <x v="0"/>
    <n v="42"/>
    <x v="0"/>
    <x v="1"/>
    <x v="5"/>
    <s v="Nordrhein-Westfalen"/>
    <s v="Bikes"/>
    <s v="Mountain Bikes"/>
    <s v="Mountain-200 Black, 38"/>
    <x v="0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d v="2021-12-06T00:00:00"/>
    <n v="6"/>
    <s v="December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d v="2021-12-08T00:00:00"/>
    <n v="8"/>
    <s v="December"/>
    <x v="0"/>
    <n v="30"/>
    <x v="1"/>
    <x v="0"/>
    <x v="6"/>
    <s v="British Columbia"/>
    <s v="Bikes"/>
    <s v="Mountain Bikes"/>
    <s v="Mountain-200 Silver, 38"/>
    <x v="0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d v="2021-12-09T00:00:00"/>
    <n v="9"/>
    <s v="December"/>
    <x v="0"/>
    <n v="41"/>
    <x v="0"/>
    <x v="0"/>
    <x v="5"/>
    <s v="Hamburg"/>
    <s v="Bikes"/>
    <s v="Mountain Bikes"/>
    <s v="Mountain-200 Silver, 42"/>
    <x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d v="2021-12-11T00:00:00"/>
    <n v="11"/>
    <s v="December"/>
    <x v="0"/>
    <n v="24"/>
    <x v="2"/>
    <x v="0"/>
    <x v="7"/>
    <s v="Seine (Paris)"/>
    <s v="Bikes"/>
    <s v="Mountain Bikes"/>
    <s v="Mountain-200 Black, 38"/>
    <x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d v="2021-12-11T00:00:00"/>
    <n v="11"/>
    <s v="December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d v="2021-12-16T00:00:00"/>
    <n v="16"/>
    <s v="December"/>
    <x v="0"/>
    <n v="27"/>
    <x v="1"/>
    <x v="0"/>
    <x v="7"/>
    <s v="Seine et Marne"/>
    <s v="Bikes"/>
    <s v="Mountain Bikes"/>
    <s v="Mountain-200 Silver, 46"/>
    <x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d v="2021-12-17T00:00:00"/>
    <n v="17"/>
    <s v="December"/>
    <x v="0"/>
    <n v="42"/>
    <x v="0"/>
    <x v="0"/>
    <x v="5"/>
    <s v="Nordrhein-Westfalen"/>
    <s v="Bikes"/>
    <s v="Mountain Bikes"/>
    <s v="Mountain-200 Silver, 46"/>
    <x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d v="2021-12-18T00:00:00"/>
    <n v="18"/>
    <s v="December"/>
    <x v="0"/>
    <n v="38"/>
    <x v="0"/>
    <x v="0"/>
    <x v="5"/>
    <s v="Nordrhein-Westfalen"/>
    <s v="Bikes"/>
    <s v="Mountain Bikes"/>
    <s v="Mountain-200 Silver, 46"/>
    <x v="0"/>
    <n v="1266"/>
    <n v="2320"/>
    <n v="4216"/>
    <n v="5064"/>
    <n v="9280"/>
  </r>
  <r>
    <s v="000261751"/>
    <d v="2021-12-18T00:00:00"/>
    <n v="18"/>
    <s v="December"/>
    <x v="0"/>
    <n v="24"/>
    <x v="2"/>
    <x v="0"/>
    <x v="7"/>
    <s v="Seine Saint Denis"/>
    <s v="Bikes"/>
    <s v="Mountain Bikes"/>
    <s v="Mountain-200 Silver, 38"/>
    <x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d v="2021-12-18T00:00:00"/>
    <n v="18"/>
    <s v="December"/>
    <x v="0"/>
    <n v="26"/>
    <x v="1"/>
    <x v="1"/>
    <x v="7"/>
    <s v="Seine (Paris)"/>
    <s v="Bikes"/>
    <s v="Mountain Bikes"/>
    <s v="Mountain-200 Black, 46"/>
    <x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d v="2021-12-19T00:00:00"/>
    <n v="19"/>
    <s v="December"/>
    <x v="0"/>
    <n v="17"/>
    <x v="2"/>
    <x v="1"/>
    <x v="7"/>
    <s v="Nord"/>
    <s v="Bikes"/>
    <s v="Mountain Bikes"/>
    <s v="Mountain-200 Silver, 46"/>
    <x v="0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d v="2021-12-19T00:00:00"/>
    <n v="19"/>
    <s v="December"/>
    <x v="0"/>
    <n v="25"/>
    <x v="1"/>
    <x v="1"/>
    <x v="7"/>
    <s v="Seine (Paris)"/>
    <s v="Bikes"/>
    <s v="Mountain Bikes"/>
    <s v="Mountain-200 Black, 38"/>
    <x v="0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d v="2021-12-19T00:00:00"/>
    <n v="19"/>
    <s v="December"/>
    <x v="0"/>
    <n v="56"/>
    <x v="0"/>
    <x v="0"/>
    <x v="5"/>
    <s v="Hessen"/>
    <s v="Bikes"/>
    <s v="Mountain Bikes"/>
    <s v="Mountain-200 Black, 46"/>
    <x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d v="2021-12-20T00:00:00"/>
    <n v="20"/>
    <s v="December"/>
    <x v="0"/>
    <n v="29"/>
    <x v="1"/>
    <x v="1"/>
    <x v="6"/>
    <s v="British Columbia"/>
    <s v="Bikes"/>
    <s v="Mountain Bikes"/>
    <s v="Mountain-500 Black, 52"/>
    <x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d v="2021-12-21T00:00:00"/>
    <n v="21"/>
    <s v="December"/>
    <x v="0"/>
    <n v="26"/>
    <x v="1"/>
    <x v="1"/>
    <x v="7"/>
    <s v="Somme"/>
    <s v="Bikes"/>
    <s v="Mountain Bikes"/>
    <s v="Mountain-200 Silver, 38"/>
    <x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d v="2021-12-22T00:00:00"/>
    <n v="22"/>
    <s v="December"/>
    <x v="0"/>
    <n v="25"/>
    <x v="1"/>
    <x v="1"/>
    <x v="7"/>
    <s v="Seine (Paris)"/>
    <s v="Bikes"/>
    <s v="Mountain Bikes"/>
    <s v="Mountain-200 Black, 38"/>
    <x v="1"/>
    <n v="1252"/>
    <n v="2295"/>
    <n v="1043"/>
    <n v="1252"/>
    <n v="2295"/>
  </r>
  <r>
    <s v="000261777"/>
    <d v="2021-12-22T00:00:00"/>
    <n v="22"/>
    <s v="December"/>
    <x v="0"/>
    <n v="27"/>
    <x v="1"/>
    <x v="0"/>
    <x v="6"/>
    <s v="British Columbia"/>
    <s v="Bikes"/>
    <s v="Mountain Bikes"/>
    <s v="Mountain-200 Black, 46"/>
    <x v="1"/>
    <n v="1252"/>
    <n v="2295"/>
    <n v="1043"/>
    <n v="1252"/>
    <n v="2295"/>
  </r>
  <r>
    <s v="000261778"/>
    <d v="2021-12-22T00:00:00"/>
    <n v="22"/>
    <s v="December"/>
    <x v="0"/>
    <n v="41"/>
    <x v="0"/>
    <x v="1"/>
    <x v="5"/>
    <s v="Hessen"/>
    <s v="Bikes"/>
    <s v="Mountain Bikes"/>
    <s v="Mountain-200 Silver, 38"/>
    <x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d v="2021-12-23T00:00:00"/>
    <n v="23"/>
    <s v="December"/>
    <x v="0"/>
    <n v="31"/>
    <x v="1"/>
    <x v="0"/>
    <x v="6"/>
    <s v="British Columbia"/>
    <s v="Bikes"/>
    <s v="Mountain Bikes"/>
    <s v="Mountain-200 Black, 42"/>
    <x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 rowHeaderCaption="Age_Group">
  <location ref="B38:H63" firstHeaderRow="1" firstDataRow="3" firstDataCol="1"/>
  <pivotFields count="19">
    <pivotField showAll="0"/>
    <pivotField numFmtId="14"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 sortType="ascending">
      <items count="4">
        <item sd="0" x="0"/>
        <item sd="0"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 sortType="ascending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dataField="1" numFmtId="164" showAll="0"/>
    <pivotField numFmtId="164" showAll="0"/>
    <pivotField dataField="1" numFmtId="164" showAll="0"/>
  </pivotFields>
  <rowFields count="2">
    <field x="8"/>
    <field x="6"/>
  </rowFields>
  <rowItems count="23">
    <i>
      <x/>
    </i>
    <i r="1">
      <x/>
    </i>
    <i r="1">
      <x v="1"/>
    </i>
    <i r="1">
      <x v="2"/>
    </i>
    <i>
      <x v="1"/>
    </i>
    <i r="1">
      <x v="1"/>
    </i>
    <i>
      <x v="2"/>
    </i>
    <i r="1">
      <x v="1"/>
    </i>
    <i r="1">
      <x v="2"/>
    </i>
    <i>
      <x v="3"/>
    </i>
    <i r="1">
      <x/>
    </i>
    <i>
      <x v="4"/>
    </i>
    <i r="1">
      <x/>
    </i>
    <i>
      <x v="5"/>
    </i>
    <i r="1">
      <x/>
    </i>
    <i r="1">
      <x v="1"/>
    </i>
    <i r="1">
      <x v="2"/>
    </i>
    <i>
      <x v="6"/>
    </i>
    <i r="1">
      <x/>
    </i>
    <i r="1">
      <x v="1"/>
    </i>
    <i>
      <x v="7"/>
    </i>
    <i r="1">
      <x/>
    </i>
    <i t="grand">
      <x/>
    </i>
  </rowItems>
  <colFields count="2">
    <field x="-2"/>
    <field x="7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Sum of Revenue" fld="18" baseField="0" baseItem="0" numFmtId="165"/>
    <dataField name="Average of  Profit " fld="16" subtotal="average" baseField="6" baseItem="1" numFmtId="165"/>
  </dataFields>
  <formats count="13"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-2" type="button" dataOnly="0" labelOnly="1" outline="0" axis="axisCol" fieldPosition="0"/>
    </format>
    <format dxfId="24">
      <pivotArea field="8" type="button" dataOnly="0" labelOnly="1" outline="0" axis="axisRow" fieldPosition="0"/>
    </format>
    <format dxfId="23">
      <pivotArea type="topRight" dataOnly="0" labelOnly="1" outline="0" fieldPosition="0"/>
    </format>
    <format dxfId="22">
      <pivotArea field="6" type="button" dataOnly="0" labelOnly="1" outline="0" axis="axisRow" fieldPosition="1"/>
    </format>
    <format dxfId="21">
      <pivotArea dataOnly="0" labelOnly="1" fieldPosition="0">
        <references count="1">
          <reference field="6" count="0"/>
        </references>
      </pivotArea>
    </format>
    <format dxfId="20">
      <pivotArea dataOnly="0" labelOnly="1" grandRow="1" outline="0" fieldPosition="0"/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 rowHeaderCaption="Age_Group">
  <location ref="A3:J8" firstHeaderRow="1" firstDataRow="2" firstDataCol="1"/>
  <pivotFields count="19">
    <pivotField showAll="0"/>
    <pivotField numFmtId="14"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formats count="13"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-2" type="button" dataOnly="0" labelOnly="1" outline="0" axis="axisValues" fieldPosition="0"/>
    </format>
    <format dxfId="37">
      <pivotArea field="8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6" type="button" dataOnly="0" labelOnly="1" outline="0" axis="axisRow" fieldPosition="0"/>
    </format>
    <format dxfId="34">
      <pivotArea dataOnly="0" labelOnly="1" fieldPosition="0">
        <references count="1">
          <reference field="6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fieldPosition="0">
        <references count="2">
          <reference field="4294967294" count="1" selected="0">
            <x v="0"/>
          </reference>
          <reference field="8" count="0"/>
        </references>
      </pivotArea>
    </format>
  </formats>
  <chartFormats count="8"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63"/>
  <sheetViews>
    <sheetView tabSelected="1" zoomScale="85" zoomScaleNormal="85" workbookViewId="0">
      <selection activeCell="D4" sqref="D4"/>
    </sheetView>
  </sheetViews>
  <sheetFormatPr defaultRowHeight="15" x14ac:dyDescent="0.25"/>
  <cols>
    <col min="1" max="1" width="28.140625" customWidth="1"/>
    <col min="2" max="2" width="25" customWidth="1"/>
    <col min="3" max="3" width="18.5703125" bestFit="1" customWidth="1"/>
    <col min="4" max="4" width="12.140625" bestFit="1" customWidth="1"/>
    <col min="5" max="5" width="17" bestFit="1" customWidth="1"/>
    <col min="6" max="6" width="13.5703125" bestFit="1" customWidth="1"/>
    <col min="7" max="7" width="20.5703125" bestFit="1" customWidth="1"/>
    <col min="8" max="8" width="22.140625" bestFit="1" customWidth="1"/>
    <col min="9" max="9" width="17.85546875" customWidth="1"/>
    <col min="10" max="10" width="15" customWidth="1"/>
    <col min="11" max="11" width="9.42578125" customWidth="1"/>
    <col min="12" max="12" width="16.140625" customWidth="1"/>
    <col min="13" max="13" width="20.5703125" bestFit="1" customWidth="1"/>
    <col min="14" max="14" width="22.140625" customWidth="1"/>
    <col min="15" max="15" width="11.140625" customWidth="1"/>
    <col min="16" max="16" width="19.5703125" bestFit="1" customWidth="1"/>
    <col min="17" max="17" width="13.42578125" customWidth="1"/>
    <col min="18" max="18" width="9.42578125" customWidth="1"/>
    <col min="19" max="19" width="20.5703125" bestFit="1" customWidth="1"/>
    <col min="20" max="20" width="22.140625" customWidth="1"/>
    <col min="21" max="21" width="10.42578125" bestFit="1" customWidth="1"/>
    <col min="22" max="22" width="18.140625" bestFit="1" customWidth="1"/>
    <col min="23" max="23" width="15.42578125" bestFit="1" customWidth="1"/>
    <col min="24" max="24" width="18.5703125" bestFit="1" customWidth="1"/>
    <col min="25" max="25" width="17" bestFit="1" customWidth="1"/>
    <col min="26" max="26" width="9.42578125" bestFit="1" customWidth="1"/>
    <col min="27" max="27" width="13.85546875" bestFit="1" customWidth="1"/>
    <col min="28" max="28" width="9.42578125" bestFit="1" customWidth="1"/>
    <col min="29" max="29" width="7.85546875" customWidth="1"/>
    <col min="30" max="30" width="12.28515625" bestFit="1" customWidth="1"/>
    <col min="31" max="32" width="9.42578125" bestFit="1" customWidth="1"/>
    <col min="33" max="33" width="11.7109375" bestFit="1" customWidth="1"/>
    <col min="34" max="34" width="11" bestFit="1" customWidth="1"/>
    <col min="35" max="35" width="9.42578125" bestFit="1" customWidth="1"/>
    <col min="36" max="36" width="14.140625" bestFit="1" customWidth="1"/>
    <col min="37" max="37" width="15.42578125" bestFit="1" customWidth="1"/>
    <col min="38" max="38" width="18.5703125" bestFit="1" customWidth="1"/>
    <col min="39" max="39" width="17.42578125" bestFit="1" customWidth="1"/>
    <col min="40" max="40" width="9.28515625" bestFit="1" customWidth="1"/>
    <col min="41" max="41" width="20.5703125" bestFit="1" customWidth="1"/>
    <col min="42" max="42" width="15" bestFit="1" customWidth="1"/>
    <col min="43" max="43" width="9.42578125" bestFit="1" customWidth="1"/>
    <col min="44" max="44" width="18.140625" bestFit="1" customWidth="1"/>
    <col min="45" max="45" width="15.42578125" bestFit="1" customWidth="1"/>
    <col min="46" max="46" width="18.5703125" bestFit="1" customWidth="1"/>
    <col min="47" max="47" width="20.5703125" bestFit="1" customWidth="1"/>
    <col min="48" max="48" width="22.140625" bestFit="1" customWidth="1"/>
  </cols>
  <sheetData>
    <row r="3" spans="1:10" x14ac:dyDescent="0.25">
      <c r="A3" s="10" t="s">
        <v>160</v>
      </c>
      <c r="B3" s="10" t="s">
        <v>159</v>
      </c>
      <c r="C3" s="9"/>
      <c r="D3" s="9"/>
      <c r="E3" s="9"/>
      <c r="F3" s="9"/>
      <c r="G3" s="9"/>
      <c r="H3" s="9"/>
      <c r="I3" s="9"/>
      <c r="J3" s="9"/>
    </row>
    <row r="4" spans="1:10" x14ac:dyDescent="0.25">
      <c r="A4" s="10" t="s">
        <v>6</v>
      </c>
      <c r="B4" s="9" t="s">
        <v>36</v>
      </c>
      <c r="C4" s="9" t="s">
        <v>58</v>
      </c>
      <c r="D4" s="9" t="s">
        <v>87</v>
      </c>
      <c r="E4" s="9" t="s">
        <v>50</v>
      </c>
      <c r="F4" s="9" t="s">
        <v>40</v>
      </c>
      <c r="G4" s="9" t="s">
        <v>29</v>
      </c>
      <c r="H4" s="9" t="s">
        <v>23</v>
      </c>
      <c r="I4" s="9" t="s">
        <v>45</v>
      </c>
      <c r="J4" s="9" t="s">
        <v>158</v>
      </c>
    </row>
    <row r="5" spans="1:10" x14ac:dyDescent="0.25">
      <c r="A5" s="9" t="s">
        <v>42</v>
      </c>
      <c r="B5" s="11">
        <v>11</v>
      </c>
      <c r="C5" s="11">
        <v>0</v>
      </c>
      <c r="D5" s="11">
        <v>10</v>
      </c>
      <c r="E5" s="11">
        <v>0</v>
      </c>
      <c r="F5" s="11">
        <v>0</v>
      </c>
      <c r="G5" s="11">
        <v>6</v>
      </c>
      <c r="H5" s="11">
        <v>0</v>
      </c>
      <c r="I5" s="11">
        <v>0</v>
      </c>
      <c r="J5" s="11">
        <v>27</v>
      </c>
    </row>
    <row r="6" spans="1:10" x14ac:dyDescent="0.25">
      <c r="A6" s="9" t="s">
        <v>35</v>
      </c>
      <c r="B6" s="11">
        <v>20</v>
      </c>
      <c r="C6" s="11">
        <v>11</v>
      </c>
      <c r="D6" s="11">
        <v>10</v>
      </c>
      <c r="E6" s="11">
        <v>0</v>
      </c>
      <c r="F6" s="11">
        <v>0</v>
      </c>
      <c r="G6" s="11">
        <v>4</v>
      </c>
      <c r="H6" s="11">
        <v>16</v>
      </c>
      <c r="I6" s="11">
        <v>0</v>
      </c>
      <c r="J6" s="11">
        <v>61</v>
      </c>
    </row>
    <row r="7" spans="1:10" x14ac:dyDescent="0.25">
      <c r="A7" s="9" t="s">
        <v>21</v>
      </c>
      <c r="B7" s="11">
        <v>32</v>
      </c>
      <c r="C7" s="11">
        <v>0</v>
      </c>
      <c r="D7" s="11">
        <v>0</v>
      </c>
      <c r="E7" s="11">
        <v>13</v>
      </c>
      <c r="F7" s="11">
        <v>2</v>
      </c>
      <c r="G7" s="11">
        <v>4</v>
      </c>
      <c r="H7" s="11">
        <v>47</v>
      </c>
      <c r="I7" s="11">
        <v>1</v>
      </c>
      <c r="J7" s="11">
        <v>99</v>
      </c>
    </row>
    <row r="8" spans="1:10" x14ac:dyDescent="0.25">
      <c r="A8" s="9" t="s">
        <v>158</v>
      </c>
      <c r="B8" s="11">
        <v>63</v>
      </c>
      <c r="C8" s="11">
        <v>11</v>
      </c>
      <c r="D8" s="11">
        <v>20</v>
      </c>
      <c r="E8" s="11">
        <v>13</v>
      </c>
      <c r="F8" s="11">
        <v>2</v>
      </c>
      <c r="G8" s="11">
        <v>14</v>
      </c>
      <c r="H8" s="11">
        <v>63</v>
      </c>
      <c r="I8" s="11">
        <v>1</v>
      </c>
      <c r="J8" s="11">
        <v>187</v>
      </c>
    </row>
    <row r="38" spans="2:8" x14ac:dyDescent="0.25">
      <c r="B38" s="9"/>
      <c r="C38" s="10" t="s">
        <v>159</v>
      </c>
      <c r="D38" s="9"/>
      <c r="E38" s="9"/>
      <c r="F38" s="9"/>
      <c r="G38" s="9"/>
      <c r="H38" s="9"/>
    </row>
    <row r="39" spans="2:8" x14ac:dyDescent="0.25">
      <c r="B39" s="9"/>
      <c r="C39" s="13" t="s">
        <v>161</v>
      </c>
      <c r="D39" s="13"/>
      <c r="E39" s="13" t="s">
        <v>162</v>
      </c>
      <c r="F39" s="13"/>
      <c r="G39" s="9" t="s">
        <v>163</v>
      </c>
      <c r="H39" s="9" t="s">
        <v>164</v>
      </c>
    </row>
    <row r="40" spans="2:8" x14ac:dyDescent="0.25">
      <c r="B40" s="10" t="s">
        <v>6</v>
      </c>
      <c r="C40" s="9" t="s">
        <v>22</v>
      </c>
      <c r="D40" s="9" t="s">
        <v>28</v>
      </c>
      <c r="E40" s="9" t="s">
        <v>22</v>
      </c>
      <c r="F40" s="9" t="s">
        <v>28</v>
      </c>
      <c r="G40" s="9"/>
      <c r="H40" s="9"/>
    </row>
    <row r="41" spans="2:8" x14ac:dyDescent="0.25">
      <c r="B41" s="9" t="s">
        <v>36</v>
      </c>
      <c r="C41" s="13">
        <v>70617</v>
      </c>
      <c r="D41" s="13">
        <v>40889</v>
      </c>
      <c r="E41" s="13">
        <v>1867.3529411764705</v>
      </c>
      <c r="F41" s="13">
        <v>1858.1</v>
      </c>
      <c r="G41" s="13">
        <v>111506</v>
      </c>
      <c r="H41" s="13">
        <v>1863.9259259259259</v>
      </c>
    </row>
    <row r="42" spans="2:8" x14ac:dyDescent="0.25">
      <c r="B42" s="12" t="s">
        <v>21</v>
      </c>
      <c r="C42" s="13">
        <v>29218</v>
      </c>
      <c r="D42" s="13">
        <v>34450</v>
      </c>
      <c r="E42" s="13">
        <v>1896.5714285714287</v>
      </c>
      <c r="F42" s="13">
        <v>2236.5714285714284</v>
      </c>
      <c r="G42" s="13">
        <v>63668</v>
      </c>
      <c r="H42" s="13">
        <v>2066.5714285714284</v>
      </c>
    </row>
    <row r="43" spans="2:8" x14ac:dyDescent="0.25">
      <c r="B43" s="12" t="s">
        <v>35</v>
      </c>
      <c r="C43" s="13">
        <v>36414</v>
      </c>
      <c r="D43" s="13">
        <v>5359</v>
      </c>
      <c r="E43" s="13">
        <v>2314.8571428571427</v>
      </c>
      <c r="F43" s="13">
        <v>1217.5</v>
      </c>
      <c r="G43" s="13">
        <v>41773</v>
      </c>
      <c r="H43" s="13">
        <v>2071</v>
      </c>
    </row>
    <row r="44" spans="2:8" x14ac:dyDescent="0.25">
      <c r="B44" s="12" t="s">
        <v>42</v>
      </c>
      <c r="C44" s="13">
        <v>4985</v>
      </c>
      <c r="D44" s="13">
        <v>1080</v>
      </c>
      <c r="E44" s="13">
        <v>755</v>
      </c>
      <c r="F44" s="13">
        <v>490</v>
      </c>
      <c r="G44" s="13">
        <v>6065</v>
      </c>
      <c r="H44" s="13">
        <v>688.75</v>
      </c>
    </row>
    <row r="45" spans="2:8" x14ac:dyDescent="0.25">
      <c r="B45" s="9" t="s">
        <v>58</v>
      </c>
      <c r="C45" s="13">
        <v>13870</v>
      </c>
      <c r="D45" s="13">
        <v>6210</v>
      </c>
      <c r="E45" s="13">
        <v>2100.6666666666665</v>
      </c>
      <c r="F45" s="13">
        <v>940.33333333333337</v>
      </c>
      <c r="G45" s="13">
        <v>20080</v>
      </c>
      <c r="H45" s="13">
        <v>1520.5</v>
      </c>
    </row>
    <row r="46" spans="2:8" x14ac:dyDescent="0.25">
      <c r="B46" s="12" t="s">
        <v>35</v>
      </c>
      <c r="C46" s="13">
        <v>13870</v>
      </c>
      <c r="D46" s="13">
        <v>6210</v>
      </c>
      <c r="E46" s="13">
        <v>2100.6666666666665</v>
      </c>
      <c r="F46" s="13">
        <v>940.33333333333337</v>
      </c>
      <c r="G46" s="13">
        <v>20080</v>
      </c>
      <c r="H46" s="13">
        <v>1520.5</v>
      </c>
    </row>
    <row r="47" spans="2:8" ht="45.75" customHeight="1" x14ac:dyDescent="0.25">
      <c r="B47" s="9" t="s">
        <v>87</v>
      </c>
      <c r="C47" s="13">
        <v>16165</v>
      </c>
      <c r="D47" s="13">
        <v>30010</v>
      </c>
      <c r="E47" s="13">
        <v>2448.3333333333335</v>
      </c>
      <c r="F47" s="13">
        <v>2727.2</v>
      </c>
      <c r="G47" s="13">
        <v>46175</v>
      </c>
      <c r="H47" s="13">
        <v>2622.625</v>
      </c>
    </row>
    <row r="48" spans="2:8" x14ac:dyDescent="0.25">
      <c r="B48" s="12" t="s">
        <v>35</v>
      </c>
      <c r="C48" s="13">
        <v>2320</v>
      </c>
      <c r="D48" s="13">
        <v>20730</v>
      </c>
      <c r="E48" s="13">
        <v>1054</v>
      </c>
      <c r="F48" s="13">
        <v>2355</v>
      </c>
      <c r="G48" s="13">
        <v>23050</v>
      </c>
      <c r="H48" s="13">
        <v>2094.8000000000002</v>
      </c>
    </row>
    <row r="49" spans="2:8" x14ac:dyDescent="0.25">
      <c r="B49" s="12" t="s">
        <v>42</v>
      </c>
      <c r="C49" s="13">
        <v>13845</v>
      </c>
      <c r="D49" s="13">
        <v>9280</v>
      </c>
      <c r="E49" s="13">
        <v>3145.5</v>
      </c>
      <c r="F49" s="13">
        <v>4216</v>
      </c>
      <c r="G49" s="13">
        <v>23125</v>
      </c>
      <c r="H49" s="13">
        <v>3502.3333333333335</v>
      </c>
    </row>
    <row r="50" spans="2:8" ht="45.75" customHeight="1" x14ac:dyDescent="0.25">
      <c r="B50" s="9" t="s">
        <v>50</v>
      </c>
      <c r="C50" s="13">
        <v>18510</v>
      </c>
      <c r="D50" s="13">
        <v>11500</v>
      </c>
      <c r="E50" s="13">
        <v>2102.5</v>
      </c>
      <c r="F50" s="13">
        <v>2613</v>
      </c>
      <c r="G50" s="13">
        <v>30010</v>
      </c>
      <c r="H50" s="13">
        <v>2272.6666666666665</v>
      </c>
    </row>
    <row r="51" spans="2:8" x14ac:dyDescent="0.25">
      <c r="B51" s="12" t="s">
        <v>21</v>
      </c>
      <c r="C51" s="13">
        <v>18510</v>
      </c>
      <c r="D51" s="13">
        <v>11500</v>
      </c>
      <c r="E51" s="13">
        <v>2102.5</v>
      </c>
      <c r="F51" s="13">
        <v>2613</v>
      </c>
      <c r="G51" s="13">
        <v>30010</v>
      </c>
      <c r="H51" s="13">
        <v>2272.6666666666665</v>
      </c>
    </row>
    <row r="52" spans="2:8" ht="39.75" customHeight="1" x14ac:dyDescent="0.25">
      <c r="B52" s="9" t="s">
        <v>40</v>
      </c>
      <c r="C52" s="13">
        <v>4590</v>
      </c>
      <c r="D52" s="13">
        <v>0</v>
      </c>
      <c r="E52" s="13">
        <v>2086</v>
      </c>
      <c r="F52" s="13">
        <v>0</v>
      </c>
      <c r="G52" s="13">
        <v>4590</v>
      </c>
      <c r="H52" s="13">
        <v>2086</v>
      </c>
    </row>
    <row r="53" spans="2:8" x14ac:dyDescent="0.25">
      <c r="B53" s="12" t="s">
        <v>21</v>
      </c>
      <c r="C53" s="13">
        <v>4590</v>
      </c>
      <c r="D53" s="13">
        <v>0</v>
      </c>
      <c r="E53" s="13">
        <v>2086</v>
      </c>
      <c r="F53" s="13">
        <v>0</v>
      </c>
      <c r="G53" s="13">
        <v>4590</v>
      </c>
      <c r="H53" s="13">
        <v>2086</v>
      </c>
    </row>
    <row r="54" spans="2:8" ht="37.5" customHeight="1" x14ac:dyDescent="0.25">
      <c r="B54" s="9" t="s">
        <v>29</v>
      </c>
      <c r="C54" s="13">
        <v>6897</v>
      </c>
      <c r="D54" s="13">
        <v>13075</v>
      </c>
      <c r="E54" s="13">
        <v>1044.3333333333333</v>
      </c>
      <c r="F54" s="13">
        <v>989.83333333333337</v>
      </c>
      <c r="G54" s="13">
        <v>19972</v>
      </c>
      <c r="H54" s="13">
        <v>1008</v>
      </c>
    </row>
    <row r="55" spans="2:8" x14ac:dyDescent="0.25">
      <c r="B55" s="12" t="s">
        <v>21</v>
      </c>
      <c r="C55" s="13">
        <v>2295</v>
      </c>
      <c r="D55" s="13">
        <v>6935</v>
      </c>
      <c r="E55" s="13">
        <v>1043</v>
      </c>
      <c r="F55" s="13">
        <v>1050.3333333333333</v>
      </c>
      <c r="G55" s="13">
        <v>9230</v>
      </c>
      <c r="H55" s="13">
        <v>1048.5</v>
      </c>
    </row>
    <row r="56" spans="2:8" x14ac:dyDescent="0.25">
      <c r="B56" s="12" t="s">
        <v>35</v>
      </c>
      <c r="C56" s="13">
        <v>2307</v>
      </c>
      <c r="D56" s="13">
        <v>2295</v>
      </c>
      <c r="E56" s="13">
        <v>1047</v>
      </c>
      <c r="F56" s="13">
        <v>1043</v>
      </c>
      <c r="G56" s="13">
        <v>4602</v>
      </c>
      <c r="H56" s="13">
        <v>1045</v>
      </c>
    </row>
    <row r="57" spans="2:8" x14ac:dyDescent="0.25">
      <c r="B57" s="12" t="s">
        <v>42</v>
      </c>
      <c r="C57" s="13">
        <v>2295</v>
      </c>
      <c r="D57" s="13">
        <v>3845</v>
      </c>
      <c r="E57" s="13">
        <v>1043</v>
      </c>
      <c r="F57" s="13">
        <v>872.5</v>
      </c>
      <c r="G57" s="13">
        <v>6140</v>
      </c>
      <c r="H57" s="13">
        <v>929.33333333333337</v>
      </c>
    </row>
    <row r="58" spans="2:8" ht="42.75" customHeight="1" x14ac:dyDescent="0.25">
      <c r="B58" s="9" t="s">
        <v>23</v>
      </c>
      <c r="C58" s="13">
        <v>85400</v>
      </c>
      <c r="D58" s="13">
        <v>41204</v>
      </c>
      <c r="E58" s="13">
        <v>2027.4736842105262</v>
      </c>
      <c r="F58" s="13">
        <v>1701.7272727272727</v>
      </c>
      <c r="G58" s="13">
        <v>126604</v>
      </c>
      <c r="H58" s="13">
        <v>1908.0333333333333</v>
      </c>
    </row>
    <row r="59" spans="2:8" x14ac:dyDescent="0.25">
      <c r="B59" s="12" t="s">
        <v>21</v>
      </c>
      <c r="C59" s="13">
        <v>61170</v>
      </c>
      <c r="D59" s="13">
        <v>35293</v>
      </c>
      <c r="E59" s="13">
        <v>2120.7692307692309</v>
      </c>
      <c r="F59" s="13">
        <v>2004.375</v>
      </c>
      <c r="G59" s="13">
        <v>96463</v>
      </c>
      <c r="H59" s="13">
        <v>2076.4285714285716</v>
      </c>
    </row>
    <row r="60" spans="2:8" x14ac:dyDescent="0.25">
      <c r="B60" s="12" t="s">
        <v>35</v>
      </c>
      <c r="C60" s="13">
        <v>24230</v>
      </c>
      <c r="D60" s="13">
        <v>5911</v>
      </c>
      <c r="E60" s="13">
        <v>1825.3333333333333</v>
      </c>
      <c r="F60" s="13">
        <v>894.66666666666663</v>
      </c>
      <c r="G60" s="13">
        <v>30141</v>
      </c>
      <c r="H60" s="13">
        <v>1515.1111111111111</v>
      </c>
    </row>
    <row r="61" spans="2:8" ht="46.5" customHeight="1" x14ac:dyDescent="0.25">
      <c r="B61" s="9" t="s">
        <v>45</v>
      </c>
      <c r="C61" s="13">
        <v>0</v>
      </c>
      <c r="D61" s="13">
        <v>2295</v>
      </c>
      <c r="E61" s="13">
        <v>0</v>
      </c>
      <c r="F61" s="13">
        <v>1043</v>
      </c>
      <c r="G61" s="13">
        <v>2295</v>
      </c>
      <c r="H61" s="13">
        <v>1043</v>
      </c>
    </row>
    <row r="62" spans="2:8" x14ac:dyDescent="0.25">
      <c r="B62" s="12" t="s">
        <v>21</v>
      </c>
      <c r="C62" s="13">
        <v>0</v>
      </c>
      <c r="D62" s="13">
        <v>2295</v>
      </c>
      <c r="E62" s="13">
        <v>0</v>
      </c>
      <c r="F62" s="13">
        <v>1043</v>
      </c>
      <c r="G62" s="13">
        <v>2295</v>
      </c>
      <c r="H62" s="13">
        <v>1043</v>
      </c>
    </row>
    <row r="63" spans="2:8" x14ac:dyDescent="0.25">
      <c r="B63" s="9" t="s">
        <v>158</v>
      </c>
      <c r="C63" s="13">
        <v>216049</v>
      </c>
      <c r="D63" s="13">
        <v>145183</v>
      </c>
      <c r="E63" s="13">
        <v>1950.86</v>
      </c>
      <c r="F63" s="13">
        <v>1735.921052631579</v>
      </c>
      <c r="G63" s="13">
        <v>361232</v>
      </c>
      <c r="H63" s="13">
        <v>1858.0454545454545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>
      <selection activeCell="F23" sqref="F23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ef7ae401-bd17-41a5-97cb-ef653218410e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cf0ffbd-cd96-4ba4-bd4f-bd34e8409846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2026-02-20T03:55:18Z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